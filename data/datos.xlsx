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GELA\Desktop\MiDashboard\data\"/>
    </mc:Choice>
  </mc:AlternateContent>
  <xr:revisionPtr revIDLastSave="0" documentId="13_ncr:1_{B611CDD5-81AF-43BA-8759-FA67F57FD899}" xr6:coauthVersionLast="36" xr6:coauthVersionMax="36" xr10:uidLastSave="{00000000-0000-0000-0000-000000000000}"/>
  <bookViews>
    <workbookView xWindow="0" yWindow="0" windowWidth="21600" windowHeight="8805" tabRatio="500" xr2:uid="{00000000-000D-0000-FFFF-FFFF00000000}"/>
  </bookViews>
  <sheets>
    <sheet name="OPERACIONES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80" i="1" l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<sst xmlns="http://schemas.openxmlformats.org/spreadsheetml/2006/main" count="1750" uniqueCount="109">
  <si>
    <t>N° DE OPERACIÓN</t>
  </si>
  <si>
    <t>FECHA</t>
  </si>
  <si>
    <t>TIPO DE CARGA</t>
  </si>
  <si>
    <t>TIPO DE SERVICIO</t>
  </si>
  <si>
    <t>LLENOS RECIBIDOS (EXPORTADOS)</t>
  </si>
  <si>
    <t>CONTENIDO</t>
  </si>
  <si>
    <t>Peso Neto Exportado</t>
  </si>
  <si>
    <t>Peso Neto Exportado2</t>
  </si>
  <si>
    <t xml:space="preserve">DESTINO </t>
  </si>
  <si>
    <t xml:space="preserve">Peso Neto Importado </t>
  </si>
  <si>
    <t xml:space="preserve">Peso Neto Manejado </t>
  </si>
  <si>
    <t xml:space="preserve">CONTENERIZADA </t>
  </si>
  <si>
    <t xml:space="preserve">MANEJO Y EXPORTACION DE CONTENEDORES DESDE PUERTO SECO </t>
  </si>
  <si>
    <t>Frijol Mungo</t>
  </si>
  <si>
    <t>VIETNAM</t>
  </si>
  <si>
    <t>TAILANDIA</t>
  </si>
  <si>
    <t>EMIRATOS ARABES</t>
  </si>
  <si>
    <t>INDONESIA</t>
  </si>
  <si>
    <t>FILIPINAS</t>
  </si>
  <si>
    <t>INDIA</t>
  </si>
  <si>
    <t>TURQUIA</t>
  </si>
  <si>
    <t>HONG KONG</t>
  </si>
  <si>
    <t>SINGAPUR</t>
  </si>
  <si>
    <t>Frijol Pico Negro</t>
  </si>
  <si>
    <t>EEUU</t>
  </si>
  <si>
    <t>Galleta Dulce</t>
  </si>
  <si>
    <t>REPUBLICA DOMINICANA</t>
  </si>
  <si>
    <t>Café Verde</t>
  </si>
  <si>
    <t>Material No Ferroso</t>
  </si>
  <si>
    <t>GRECIA</t>
  </si>
  <si>
    <t>COREA DEL SUR</t>
  </si>
  <si>
    <t>GUYANA</t>
  </si>
  <si>
    <t>Maquinaria</t>
  </si>
  <si>
    <t>TRINIDAD Y TOBAGO</t>
  </si>
  <si>
    <t>ITALIA</t>
  </si>
  <si>
    <t>Carbón Vegetal</t>
  </si>
  <si>
    <t>LIBANO</t>
  </si>
  <si>
    <t xml:space="preserve">MANEJO Y RESGUARDO DE CONTENEDORES VACIOS </t>
  </si>
  <si>
    <t>VENEZUELA</t>
  </si>
  <si>
    <t>CANADA</t>
  </si>
  <si>
    <t>CUBA</t>
  </si>
  <si>
    <t>MALASIA</t>
  </si>
  <si>
    <t>Madera</t>
  </si>
  <si>
    <t>CATAR</t>
  </si>
  <si>
    <t>Materiales de Construccion</t>
  </si>
  <si>
    <t>COLOMBIA</t>
  </si>
  <si>
    <t>PAKISTAN</t>
  </si>
  <si>
    <t>ESPAÑA</t>
  </si>
  <si>
    <t>RESGUARDO Y PERNOCTA DE CONTENEDORES LLENOS</t>
  </si>
  <si>
    <t>HONDURAS</t>
  </si>
  <si>
    <t>Alimento para Animales</t>
  </si>
  <si>
    <t>BELGICA</t>
  </si>
  <si>
    <t>MOVIMIENTOS DE EQUIPOS</t>
  </si>
  <si>
    <t>Soda Caústica</t>
  </si>
  <si>
    <t>Café Molido</t>
  </si>
  <si>
    <t>Tuberias PVC</t>
  </si>
  <si>
    <t>CHIPRE</t>
  </si>
  <si>
    <t>Licor de Ron</t>
  </si>
  <si>
    <t>NO CONTENERIZADA</t>
  </si>
  <si>
    <t>ACOMPAÑAMIENTO Y PROMOCION DE EMCOEX LARA</t>
  </si>
  <si>
    <t>Productos Agricolas y Manufacturados</t>
  </si>
  <si>
    <t>CURAZAO</t>
  </si>
  <si>
    <t>Productos Agricolas</t>
  </si>
  <si>
    <t>HOLANDA</t>
  </si>
  <si>
    <t>Frutas y Hortalizas</t>
  </si>
  <si>
    <t>PANAMA</t>
  </si>
  <si>
    <t>Mixto (F. mungo-F. pico negro)</t>
  </si>
  <si>
    <t>Arcilla Blanca</t>
  </si>
  <si>
    <t>Te Instantaneo en Polvo y Galletas Tipo Cocosete</t>
  </si>
  <si>
    <t xml:space="preserve">OPERACIÓN DE IMPORTACION EN PUERTO SECO </t>
  </si>
  <si>
    <t>Equipos Electronicos</t>
  </si>
  <si>
    <t>BULGARIA</t>
  </si>
  <si>
    <t>ALEMANIA</t>
  </si>
  <si>
    <t>NESTEA DE 450 GR Y 90 GR</t>
  </si>
  <si>
    <t>Bebida Vitaminica Tipo Cerelac y Galletas Tipo Cocosete</t>
  </si>
  <si>
    <t>CHILE</t>
  </si>
  <si>
    <t>Ron Añejo</t>
  </si>
  <si>
    <t xml:space="preserve">PAISES BAJOS HOLANDA </t>
  </si>
  <si>
    <t xml:space="preserve">Te Instantaneo en Polvo </t>
  </si>
  <si>
    <t xml:space="preserve">Chicha en Polvo </t>
  </si>
  <si>
    <t>aCOMPAÑAMIENTO Y PROMOCION DE EMCOEX LARA</t>
  </si>
  <si>
    <t>Te instantaneo en Polvo y bebida energetica</t>
  </si>
  <si>
    <t>Botellas de Vidrio y Tapas plásticas</t>
  </si>
  <si>
    <t xml:space="preserve">CHINA </t>
  </si>
  <si>
    <t xml:space="preserve">REPUBLICA CHECA </t>
  </si>
  <si>
    <t>EMIRATOS ARABES UNIDOS</t>
  </si>
  <si>
    <t>7,605,5</t>
  </si>
  <si>
    <t>Te instantaneo en polvo</t>
  </si>
  <si>
    <t>Ron Añejo y Vodka</t>
  </si>
  <si>
    <t>N/A</t>
  </si>
  <si>
    <t xml:space="preserve">Frijol Mungo </t>
  </si>
  <si>
    <t xml:space="preserve">café verde </t>
  </si>
  <si>
    <t xml:space="preserve">café vede </t>
  </si>
  <si>
    <t>REPUBLICA CHECA</t>
  </si>
  <si>
    <t>RUSIA</t>
  </si>
  <si>
    <t>TAUREL</t>
  </si>
  <si>
    <t>4998.00</t>
  </si>
  <si>
    <t>CHINA</t>
  </si>
  <si>
    <t>9834.00</t>
  </si>
  <si>
    <t>5440.00</t>
  </si>
  <si>
    <t>FIRST INTERNATIONAL</t>
  </si>
  <si>
    <t>PERU</t>
  </si>
  <si>
    <t>NO CONTENERIZADA (AEREA)</t>
  </si>
  <si>
    <t>BARRAEZ &amp; ASOC.</t>
  </si>
  <si>
    <t>PAISES BAJOS</t>
  </si>
  <si>
    <t>FIRST INTERNATIONAL TRANSPORT</t>
  </si>
  <si>
    <t>ADUANERA NUEVA SEGOVIA</t>
  </si>
  <si>
    <t>ITALIA (SUSPENDIDA POR CONTAMINACION DE LA CARGA)</t>
  </si>
  <si>
    <t>FRANCIA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</si>
</sst>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dd/mm/yyyy"/>
  </numFmts>
  <fonts count="4">
    <font>
      <sz val="11"/>
      <color theme="1"/>
      <name val="Aptos Narrow"/>
      <family val="2"/>
      <charset val="1"/>
    </font>
    <font>
      <b/>
      <sz val="11"/>
      <color theme="0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6"/>
        <bgColor rgb="FF008080"/>
      </patternFill>
    </fill>
    <fill>
      <patternFill patternType="solid">
        <fgColor theme="6" tint="0.59987182226020086"/>
        <bgColor rgb="FFC0C0C0"/>
      </patternFill>
    </fill>
    <fill>
      <patternFill patternType="solid">
        <fgColor theme="0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center"/>
    </xf>
    <xf numFmtId="0" fontId="0" fillId="0" borderId="0" xfId="0" applyFont="1"/>
    <xf numFmtId="3" fontId="0" fillId="0" borderId="0" xfId="0" applyNumberFormat="1" applyFont="1" applyAlignment="1">
      <alignment horizontal="center"/>
    </xf>
    <xf numFmtId="0" fontId="1" fillId="2" borderId="1" xfId="0" applyFont="1" applyFill="1" applyBorder="1"/>
    <xf numFmtId="164" fontId="0" fillId="0" borderId="0" xfId="0" applyNumberFormat="1" applyAlignment="1">
      <alignment horizontal="center"/>
    </xf>
    <xf numFmtId="0" fontId="0" fillId="0" borderId="1" xfId="0" applyBorder="1"/>
    <xf numFmtId="164" fontId="2" fillId="3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164" fontId="0" fillId="4" borderId="0" xfId="0" applyNumberFormat="1" applyFill="1"/>
    <xf numFmtId="165" fontId="0" fillId="4" borderId="0" xfId="0" applyNumberFormat="1" applyFill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0" xfId="0" applyFont="1"/>
    <xf numFmtId="14" fontId="0" fillId="0" borderId="0" xfId="0" applyNumberFormat="1" applyAlignment="1">
      <alignment horizontal="center"/>
    </xf>
    <xf numFmtId="0" fontId="0" fillId="0" borderId="0" xfId="0" applyFill="1"/>
    <xf numFmtId="1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3" fontId="0" fillId="0" borderId="0" xfId="0" applyNumberFormat="1" applyFill="1" applyAlignment="1">
      <alignment horizontal="center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4E291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J435" totalsRowCount="1">
  <autoFilter ref="A1:J434" xr:uid="{00000000-0009-0000-0100-000001000000}"/>
  <tableColumns count="10">
    <tableColumn id="1" xr3:uid="{00000000-0010-0000-0000-000001000000}" name="N° DE OPERACIÓN"/>
    <tableColumn id="2" xr3:uid="{00000000-0010-0000-0000-000002000000}" name="FECHA" totalsRowDxfId="4"/>
    <tableColumn id="3" xr3:uid="{00000000-0010-0000-0000-000003000000}" name="TIPO DE CARGA"/>
    <tableColumn id="4" xr3:uid="{00000000-0010-0000-0000-000004000000}" name="TIPO DE SERVICIO"/>
    <tableColumn id="5" xr3:uid="{00000000-0010-0000-0000-000005000000}" name="LLENOS RECIBIDOS (EXPORTADOS)" totalsRowDxfId="3"/>
    <tableColumn id="6" xr3:uid="{00000000-0010-0000-0000-000006000000}" name="CONTENIDO"/>
    <tableColumn id="7" xr3:uid="{00000000-0010-0000-0000-000007000000}" name="Peso Neto Exportado" totalsRowDxfId="2"/>
    <tableColumn id="8" xr3:uid="{00000000-0010-0000-0000-000008000000}" name="Peso Neto Exportado2" totalsRowDxfId="1"/>
    <tableColumn id="9" xr3:uid="{00000000-0010-0000-0000-000009000000}" name="DESTINO " totalsRowDxfId="0"/>
    <tableColumn id="10" xr3:uid="{00000000-0010-0000-0000-00000A000000}" name="Peso Neto Importado 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5"/>
  <sheetViews>
    <sheetView tabSelected="1" topLeftCell="C405" zoomScale="84" zoomScaleNormal="84" workbookViewId="0">
      <selection activeCell="I415" sqref="I415"/>
    </sheetView>
  </sheetViews>
  <sheetFormatPr baseColWidth="10" defaultColWidth="11.375" defaultRowHeight="14.25"/>
  <cols>
    <col min="1" max="1" width="13.5" customWidth="1"/>
    <col min="2" max="2" width="12.125" style="1" customWidth="1"/>
    <col min="3" max="3" width="23.125" customWidth="1"/>
    <col min="4" max="4" width="29.875" customWidth="1"/>
    <col min="5" max="5" width="31" style="1" customWidth="1"/>
    <col min="6" max="6" width="19.625" customWidth="1"/>
    <col min="7" max="7" width="16.75" style="1" hidden="1" customWidth="1"/>
    <col min="8" max="8" width="19.875" style="2" customWidth="1"/>
    <col min="9" max="9" width="32" style="1" customWidth="1"/>
    <col min="10" max="10" width="19.375" customWidth="1"/>
    <col min="11" max="11" width="21.375" customWidth="1"/>
  </cols>
  <sheetData>
    <row r="1" spans="1:11" ht="24" customHeight="1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4" t="s">
        <v>8</v>
      </c>
      <c r="J1" s="5" t="s">
        <v>9</v>
      </c>
      <c r="K1" s="7" t="s">
        <v>10</v>
      </c>
    </row>
    <row r="2" spans="1:11" ht="24" customHeight="1">
      <c r="A2">
        <v>1</v>
      </c>
      <c r="B2" s="8">
        <v>44272</v>
      </c>
      <c r="C2" t="s">
        <v>11</v>
      </c>
      <c r="D2" t="s">
        <v>12</v>
      </c>
      <c r="E2" s="1">
        <v>15</v>
      </c>
      <c r="F2" t="s">
        <v>13</v>
      </c>
      <c r="G2" s="1">
        <v>378000</v>
      </c>
      <c r="H2" s="2">
        <f t="shared" ref="H2:H65" si="0">G2/1000</f>
        <v>378</v>
      </c>
      <c r="I2" s="1" t="s">
        <v>14</v>
      </c>
      <c r="J2">
        <v>0</v>
      </c>
      <c r="K2" s="9">
        <v>0</v>
      </c>
    </row>
    <row r="3" spans="1:11" ht="19.5" customHeight="1">
      <c r="A3">
        <v>2</v>
      </c>
      <c r="B3" s="8">
        <v>44278</v>
      </c>
      <c r="C3" t="s">
        <v>11</v>
      </c>
      <c r="D3" t="s">
        <v>12</v>
      </c>
      <c r="E3" s="1">
        <v>6</v>
      </c>
      <c r="F3" t="s">
        <v>13</v>
      </c>
      <c r="G3" s="1">
        <v>151200</v>
      </c>
      <c r="H3" s="2">
        <f t="shared" si="0"/>
        <v>151.19999999999999</v>
      </c>
      <c r="I3" s="1" t="s">
        <v>15</v>
      </c>
      <c r="J3">
        <v>0</v>
      </c>
      <c r="K3" s="9">
        <v>0</v>
      </c>
    </row>
    <row r="4" spans="1:11" ht="20.25" customHeight="1">
      <c r="A4">
        <v>3</v>
      </c>
      <c r="B4" s="8">
        <v>44286</v>
      </c>
      <c r="C4" t="s">
        <v>11</v>
      </c>
      <c r="D4" t="s">
        <v>12</v>
      </c>
      <c r="E4" s="1">
        <v>10</v>
      </c>
      <c r="F4" t="s">
        <v>13</v>
      </c>
      <c r="G4" s="1">
        <v>252000</v>
      </c>
      <c r="H4" s="2">
        <f t="shared" si="0"/>
        <v>252</v>
      </c>
      <c r="I4" s="1" t="s">
        <v>16</v>
      </c>
      <c r="J4">
        <v>0</v>
      </c>
      <c r="K4" s="9">
        <v>0</v>
      </c>
    </row>
    <row r="5" spans="1:11" ht="24.75" customHeight="1">
      <c r="A5">
        <v>4</v>
      </c>
      <c r="B5" s="8">
        <v>44301</v>
      </c>
      <c r="C5" t="s">
        <v>11</v>
      </c>
      <c r="D5" t="s">
        <v>12</v>
      </c>
      <c r="E5" s="1">
        <v>10</v>
      </c>
      <c r="F5" t="s">
        <v>13</v>
      </c>
      <c r="G5" s="1">
        <v>252000</v>
      </c>
      <c r="H5" s="2">
        <f t="shared" si="0"/>
        <v>252</v>
      </c>
      <c r="I5" s="1" t="s">
        <v>16</v>
      </c>
      <c r="J5">
        <v>0</v>
      </c>
      <c r="K5" s="9">
        <v>0</v>
      </c>
    </row>
    <row r="6" spans="1:11" ht="21.75" customHeight="1">
      <c r="A6">
        <v>5</v>
      </c>
      <c r="B6" s="8">
        <v>44300</v>
      </c>
      <c r="C6" t="s">
        <v>11</v>
      </c>
      <c r="D6" t="s">
        <v>12</v>
      </c>
      <c r="E6" s="1">
        <v>8</v>
      </c>
      <c r="F6" t="s">
        <v>13</v>
      </c>
      <c r="G6" s="1">
        <v>201600</v>
      </c>
      <c r="H6" s="2">
        <f t="shared" si="0"/>
        <v>201.6</v>
      </c>
      <c r="I6" s="1" t="s">
        <v>17</v>
      </c>
      <c r="J6">
        <v>0</v>
      </c>
      <c r="K6" s="9">
        <v>0</v>
      </c>
    </row>
    <row r="7" spans="1:11" ht="26.25" customHeight="1">
      <c r="A7">
        <v>6</v>
      </c>
      <c r="B7" s="8">
        <v>44301</v>
      </c>
      <c r="C7" t="s">
        <v>11</v>
      </c>
      <c r="D7" t="s">
        <v>12</v>
      </c>
      <c r="E7" s="1">
        <v>2</v>
      </c>
      <c r="F7" t="s">
        <v>13</v>
      </c>
      <c r="G7" s="1">
        <v>50400</v>
      </c>
      <c r="H7" s="2">
        <f t="shared" si="0"/>
        <v>50.4</v>
      </c>
      <c r="I7" s="1" t="s">
        <v>18</v>
      </c>
      <c r="J7">
        <v>0</v>
      </c>
      <c r="K7" s="9">
        <v>0</v>
      </c>
    </row>
    <row r="8" spans="1:11" ht="18" customHeight="1">
      <c r="A8">
        <v>7</v>
      </c>
      <c r="B8" s="8">
        <v>44306</v>
      </c>
      <c r="C8" t="s">
        <v>11</v>
      </c>
      <c r="D8" t="s">
        <v>12</v>
      </c>
      <c r="E8" s="1">
        <v>14</v>
      </c>
      <c r="F8" t="s">
        <v>13</v>
      </c>
      <c r="G8" s="1">
        <v>352800</v>
      </c>
      <c r="H8" s="2">
        <f t="shared" si="0"/>
        <v>352.8</v>
      </c>
      <c r="I8" s="1" t="s">
        <v>15</v>
      </c>
      <c r="J8">
        <v>0</v>
      </c>
      <c r="K8" s="9">
        <v>0</v>
      </c>
    </row>
    <row r="9" spans="1:11" ht="27" customHeight="1">
      <c r="A9">
        <v>8</v>
      </c>
      <c r="B9" s="8">
        <v>44306</v>
      </c>
      <c r="C9" t="s">
        <v>11</v>
      </c>
      <c r="D9" t="s">
        <v>12</v>
      </c>
      <c r="E9" s="1">
        <v>10</v>
      </c>
      <c r="F9" t="s">
        <v>13</v>
      </c>
      <c r="G9" s="1">
        <v>252000</v>
      </c>
      <c r="H9" s="2">
        <f t="shared" si="0"/>
        <v>252</v>
      </c>
      <c r="I9" s="1" t="s">
        <v>14</v>
      </c>
      <c r="J9">
        <v>0</v>
      </c>
      <c r="K9" s="9">
        <v>0</v>
      </c>
    </row>
    <row r="10" spans="1:11" ht="29.25" customHeight="1">
      <c r="A10">
        <v>9</v>
      </c>
      <c r="B10" s="8">
        <v>44306</v>
      </c>
      <c r="C10" t="s">
        <v>11</v>
      </c>
      <c r="D10" t="s">
        <v>12</v>
      </c>
      <c r="E10" s="1">
        <v>5</v>
      </c>
      <c r="F10" t="s">
        <v>13</v>
      </c>
      <c r="G10" s="1">
        <v>126000</v>
      </c>
      <c r="H10" s="2">
        <f t="shared" si="0"/>
        <v>126</v>
      </c>
      <c r="I10" s="1" t="s">
        <v>14</v>
      </c>
      <c r="J10">
        <v>0</v>
      </c>
      <c r="K10" s="9">
        <v>0</v>
      </c>
    </row>
    <row r="11" spans="1:11" ht="24.75" customHeight="1">
      <c r="A11">
        <v>10</v>
      </c>
      <c r="B11" s="8">
        <v>44315</v>
      </c>
      <c r="C11" t="s">
        <v>11</v>
      </c>
      <c r="D11" t="s">
        <v>12</v>
      </c>
      <c r="E11" s="1">
        <v>10</v>
      </c>
      <c r="F11" t="s">
        <v>13</v>
      </c>
      <c r="G11" s="1">
        <v>252000</v>
      </c>
      <c r="H11" s="2">
        <f t="shared" si="0"/>
        <v>252</v>
      </c>
      <c r="I11" s="1" t="s">
        <v>19</v>
      </c>
      <c r="J11">
        <v>0</v>
      </c>
      <c r="K11" s="9">
        <v>0</v>
      </c>
    </row>
    <row r="12" spans="1:11" ht="26.25" customHeight="1">
      <c r="A12">
        <v>11</v>
      </c>
      <c r="B12" s="8">
        <v>44316</v>
      </c>
      <c r="C12" t="s">
        <v>11</v>
      </c>
      <c r="D12" t="s">
        <v>12</v>
      </c>
      <c r="E12" s="1">
        <v>8</v>
      </c>
      <c r="F12" t="s">
        <v>13</v>
      </c>
      <c r="G12" s="1">
        <v>201600</v>
      </c>
      <c r="H12" s="2">
        <f t="shared" si="0"/>
        <v>201.6</v>
      </c>
      <c r="I12" s="1" t="s">
        <v>17</v>
      </c>
      <c r="J12">
        <v>0</v>
      </c>
      <c r="K12" s="9">
        <v>0</v>
      </c>
    </row>
    <row r="13" spans="1:11" ht="22.5" customHeight="1">
      <c r="A13">
        <v>12</v>
      </c>
      <c r="B13" s="8">
        <v>44316</v>
      </c>
      <c r="C13" t="s">
        <v>11</v>
      </c>
      <c r="D13" t="s">
        <v>12</v>
      </c>
      <c r="E13" s="1">
        <v>2</v>
      </c>
      <c r="F13" t="s">
        <v>13</v>
      </c>
      <c r="G13" s="1">
        <v>50400</v>
      </c>
      <c r="H13" s="2">
        <f t="shared" si="0"/>
        <v>50.4</v>
      </c>
      <c r="I13" s="1" t="s">
        <v>20</v>
      </c>
      <c r="J13">
        <v>0</v>
      </c>
      <c r="K13" s="9">
        <v>0</v>
      </c>
    </row>
    <row r="14" spans="1:11" ht="21.75" customHeight="1">
      <c r="A14">
        <v>13</v>
      </c>
      <c r="B14" s="8">
        <v>44316</v>
      </c>
      <c r="C14" t="s">
        <v>11</v>
      </c>
      <c r="D14" t="s">
        <v>12</v>
      </c>
      <c r="E14" s="1">
        <v>1</v>
      </c>
      <c r="F14" t="s">
        <v>13</v>
      </c>
      <c r="G14" s="1">
        <v>25200</v>
      </c>
      <c r="H14" s="2">
        <f t="shared" si="0"/>
        <v>25.2</v>
      </c>
      <c r="I14" s="1" t="s">
        <v>20</v>
      </c>
      <c r="J14">
        <v>0</v>
      </c>
      <c r="K14" s="9">
        <v>0</v>
      </c>
    </row>
    <row r="15" spans="1:11" ht="29.25" customHeight="1">
      <c r="A15">
        <v>14</v>
      </c>
      <c r="B15" s="8">
        <v>44330</v>
      </c>
      <c r="C15" t="s">
        <v>11</v>
      </c>
      <c r="D15" t="s">
        <v>12</v>
      </c>
      <c r="E15" s="1">
        <v>5</v>
      </c>
      <c r="F15" t="s">
        <v>13</v>
      </c>
      <c r="G15" s="1">
        <v>126000</v>
      </c>
      <c r="H15" s="2">
        <f t="shared" si="0"/>
        <v>126</v>
      </c>
      <c r="I15" s="1" t="s">
        <v>20</v>
      </c>
      <c r="J15">
        <v>0</v>
      </c>
      <c r="K15" s="9">
        <v>0</v>
      </c>
    </row>
    <row r="16" spans="1:11" ht="18.75" customHeight="1">
      <c r="A16">
        <v>15</v>
      </c>
      <c r="B16" s="8">
        <v>44330</v>
      </c>
      <c r="C16" t="s">
        <v>11</v>
      </c>
      <c r="D16" t="s">
        <v>12</v>
      </c>
      <c r="E16" s="1">
        <v>1</v>
      </c>
      <c r="F16" t="s">
        <v>13</v>
      </c>
      <c r="G16" s="1">
        <v>25200</v>
      </c>
      <c r="H16" s="2">
        <f t="shared" si="0"/>
        <v>25.2</v>
      </c>
      <c r="I16" s="1" t="s">
        <v>21</v>
      </c>
      <c r="J16">
        <v>0</v>
      </c>
      <c r="K16" s="9">
        <v>0</v>
      </c>
    </row>
    <row r="17" spans="1:11" ht="21.75" customHeight="1">
      <c r="A17">
        <v>16</v>
      </c>
      <c r="B17" s="8">
        <v>44330</v>
      </c>
      <c r="C17" t="s">
        <v>11</v>
      </c>
      <c r="D17" t="s">
        <v>12</v>
      </c>
      <c r="E17" s="1">
        <v>1</v>
      </c>
      <c r="F17" t="s">
        <v>13</v>
      </c>
      <c r="G17" s="1">
        <v>25200</v>
      </c>
      <c r="H17" s="2">
        <f t="shared" si="0"/>
        <v>25.2</v>
      </c>
      <c r="I17" s="1" t="s">
        <v>22</v>
      </c>
      <c r="J17">
        <v>0</v>
      </c>
      <c r="K17" s="9">
        <v>0</v>
      </c>
    </row>
    <row r="18" spans="1:11" ht="23.25" customHeight="1">
      <c r="A18">
        <v>17</v>
      </c>
      <c r="B18" s="8">
        <v>44330</v>
      </c>
      <c r="C18" t="s">
        <v>11</v>
      </c>
      <c r="D18" t="s">
        <v>12</v>
      </c>
      <c r="E18" s="1">
        <v>3</v>
      </c>
      <c r="F18" t="s">
        <v>23</v>
      </c>
      <c r="G18" s="1">
        <v>75600</v>
      </c>
      <c r="H18" s="2">
        <f t="shared" si="0"/>
        <v>75.599999999999994</v>
      </c>
      <c r="I18" s="1" t="s">
        <v>24</v>
      </c>
      <c r="J18">
        <v>0</v>
      </c>
      <c r="K18" s="9">
        <v>0</v>
      </c>
    </row>
    <row r="19" spans="1:11" ht="24" customHeight="1">
      <c r="A19">
        <v>18</v>
      </c>
      <c r="B19" s="8">
        <v>44330</v>
      </c>
      <c r="C19" t="s">
        <v>11</v>
      </c>
      <c r="D19" t="s">
        <v>12</v>
      </c>
      <c r="E19" s="1">
        <v>5</v>
      </c>
      <c r="F19" t="s">
        <v>13</v>
      </c>
      <c r="G19" s="1">
        <v>126000</v>
      </c>
      <c r="H19" s="2">
        <f t="shared" si="0"/>
        <v>126</v>
      </c>
      <c r="I19" s="1" t="s">
        <v>14</v>
      </c>
      <c r="J19">
        <v>0</v>
      </c>
      <c r="K19" s="9">
        <v>0</v>
      </c>
    </row>
    <row r="20" spans="1:11" ht="22.5" customHeight="1">
      <c r="A20">
        <v>19</v>
      </c>
      <c r="B20" s="8">
        <v>44327</v>
      </c>
      <c r="C20" t="s">
        <v>11</v>
      </c>
      <c r="D20" t="s">
        <v>12</v>
      </c>
      <c r="E20" s="1">
        <v>1</v>
      </c>
      <c r="F20" t="s">
        <v>25</v>
      </c>
      <c r="G20" s="1">
        <v>25200</v>
      </c>
      <c r="H20" s="2">
        <f t="shared" si="0"/>
        <v>25.2</v>
      </c>
      <c r="I20" s="1" t="s">
        <v>26</v>
      </c>
      <c r="J20">
        <v>0</v>
      </c>
      <c r="K20" s="9">
        <v>0</v>
      </c>
    </row>
    <row r="21" spans="1:11" ht="15.75" customHeight="1">
      <c r="A21">
        <v>20</v>
      </c>
      <c r="B21" s="8">
        <v>44330</v>
      </c>
      <c r="C21" t="s">
        <v>11</v>
      </c>
      <c r="D21" t="s">
        <v>12</v>
      </c>
      <c r="E21" s="1">
        <v>12</v>
      </c>
      <c r="F21" t="s">
        <v>13</v>
      </c>
      <c r="G21" s="1">
        <v>302400</v>
      </c>
      <c r="H21" s="2">
        <f t="shared" si="0"/>
        <v>302.39999999999998</v>
      </c>
      <c r="I21" s="1" t="s">
        <v>14</v>
      </c>
      <c r="J21">
        <v>0</v>
      </c>
      <c r="K21" s="9">
        <v>0</v>
      </c>
    </row>
    <row r="22" spans="1:11" ht="24" customHeight="1">
      <c r="A22">
        <v>21</v>
      </c>
      <c r="B22" s="8">
        <v>44330</v>
      </c>
      <c r="C22" t="s">
        <v>11</v>
      </c>
      <c r="D22" t="s">
        <v>12</v>
      </c>
      <c r="E22" s="1">
        <v>8</v>
      </c>
      <c r="F22" t="s">
        <v>13</v>
      </c>
      <c r="G22" s="1">
        <v>201600</v>
      </c>
      <c r="H22" s="2">
        <f t="shared" si="0"/>
        <v>201.6</v>
      </c>
      <c r="I22" s="1" t="s">
        <v>14</v>
      </c>
      <c r="J22">
        <v>0</v>
      </c>
      <c r="K22" s="9">
        <v>0</v>
      </c>
    </row>
    <row r="23" spans="1:11" ht="23.25" customHeight="1">
      <c r="A23">
        <v>22</v>
      </c>
      <c r="B23" s="8">
        <v>44330</v>
      </c>
      <c r="C23" t="s">
        <v>11</v>
      </c>
      <c r="D23" t="s">
        <v>12</v>
      </c>
      <c r="E23" s="1">
        <v>5</v>
      </c>
      <c r="F23" t="s">
        <v>13</v>
      </c>
      <c r="G23" s="1">
        <v>126000</v>
      </c>
      <c r="H23" s="2">
        <f t="shared" si="0"/>
        <v>126</v>
      </c>
      <c r="I23" s="1" t="s">
        <v>20</v>
      </c>
      <c r="J23">
        <v>0</v>
      </c>
      <c r="K23" s="9">
        <v>0</v>
      </c>
    </row>
    <row r="24" spans="1:11" ht="27" customHeight="1">
      <c r="A24">
        <v>23</v>
      </c>
      <c r="B24" s="8">
        <v>44344</v>
      </c>
      <c r="C24" t="s">
        <v>11</v>
      </c>
      <c r="D24" t="s">
        <v>12</v>
      </c>
      <c r="E24" s="1">
        <v>4</v>
      </c>
      <c r="F24" t="s">
        <v>13</v>
      </c>
      <c r="G24" s="1">
        <v>100800</v>
      </c>
      <c r="H24" s="2">
        <f t="shared" si="0"/>
        <v>100.8</v>
      </c>
      <c r="I24" s="1" t="s">
        <v>19</v>
      </c>
      <c r="J24">
        <v>0</v>
      </c>
      <c r="K24" s="9">
        <v>0</v>
      </c>
    </row>
    <row r="25" spans="1:11" ht="15" customHeight="1">
      <c r="A25">
        <v>24</v>
      </c>
      <c r="B25" s="8">
        <v>44344</v>
      </c>
      <c r="C25" t="s">
        <v>11</v>
      </c>
      <c r="D25" t="s">
        <v>12</v>
      </c>
      <c r="E25" s="1">
        <v>5</v>
      </c>
      <c r="F25" t="s">
        <v>13</v>
      </c>
      <c r="G25" s="1">
        <v>126000</v>
      </c>
      <c r="H25" s="2">
        <f t="shared" si="0"/>
        <v>126</v>
      </c>
      <c r="I25" s="1" t="s">
        <v>16</v>
      </c>
      <c r="J25">
        <v>0</v>
      </c>
      <c r="K25" s="9">
        <v>0</v>
      </c>
    </row>
    <row r="26" spans="1:11" ht="13.5" customHeight="1">
      <c r="A26">
        <v>25</v>
      </c>
      <c r="B26" s="8">
        <v>44344</v>
      </c>
      <c r="C26" t="s">
        <v>11</v>
      </c>
      <c r="D26" t="s">
        <v>12</v>
      </c>
      <c r="E26" s="1">
        <v>4</v>
      </c>
      <c r="F26" t="s">
        <v>13</v>
      </c>
      <c r="G26" s="1">
        <v>100800</v>
      </c>
      <c r="H26" s="2">
        <f t="shared" si="0"/>
        <v>100.8</v>
      </c>
      <c r="I26" s="1" t="s">
        <v>14</v>
      </c>
      <c r="J26">
        <v>0</v>
      </c>
      <c r="K26" s="9">
        <v>0</v>
      </c>
    </row>
    <row r="27" spans="1:11" ht="14.25" customHeight="1">
      <c r="A27">
        <v>26</v>
      </c>
      <c r="B27" s="8">
        <v>44344</v>
      </c>
      <c r="C27" t="s">
        <v>11</v>
      </c>
      <c r="D27" t="s">
        <v>12</v>
      </c>
      <c r="E27" s="1">
        <v>4</v>
      </c>
      <c r="F27" t="s">
        <v>13</v>
      </c>
      <c r="G27" s="1">
        <v>100800</v>
      </c>
      <c r="H27" s="2">
        <f t="shared" si="0"/>
        <v>100.8</v>
      </c>
      <c r="I27" s="1" t="s">
        <v>16</v>
      </c>
      <c r="J27">
        <v>0</v>
      </c>
      <c r="K27" s="9">
        <v>0</v>
      </c>
    </row>
    <row r="28" spans="1:11" ht="18.75" customHeight="1">
      <c r="A28">
        <v>27</v>
      </c>
      <c r="B28" s="8">
        <v>44370</v>
      </c>
      <c r="C28" t="s">
        <v>11</v>
      </c>
      <c r="D28" t="s">
        <v>12</v>
      </c>
      <c r="E28" s="1">
        <v>2</v>
      </c>
      <c r="F28" t="s">
        <v>13</v>
      </c>
      <c r="G28" s="1">
        <v>50400</v>
      </c>
      <c r="H28" s="2">
        <f t="shared" si="0"/>
        <v>50.4</v>
      </c>
      <c r="I28" s="1" t="s">
        <v>19</v>
      </c>
      <c r="J28">
        <v>0</v>
      </c>
      <c r="K28" s="9">
        <v>0</v>
      </c>
    </row>
    <row r="29" spans="1:11" ht="20.25" customHeight="1">
      <c r="A29">
        <v>28</v>
      </c>
      <c r="B29" s="8">
        <v>44370</v>
      </c>
      <c r="C29" t="s">
        <v>11</v>
      </c>
      <c r="D29" t="s">
        <v>12</v>
      </c>
      <c r="E29" s="1">
        <v>2</v>
      </c>
      <c r="F29" t="s">
        <v>13</v>
      </c>
      <c r="G29" s="1">
        <v>50400</v>
      </c>
      <c r="H29" s="2">
        <f t="shared" si="0"/>
        <v>50.4</v>
      </c>
      <c r="I29" s="1" t="s">
        <v>19</v>
      </c>
      <c r="J29">
        <v>0</v>
      </c>
      <c r="K29" s="9">
        <v>0</v>
      </c>
    </row>
    <row r="30" spans="1:11" ht="27.75" customHeight="1">
      <c r="A30">
        <v>29</v>
      </c>
      <c r="B30" s="8">
        <v>44370</v>
      </c>
      <c r="C30" t="s">
        <v>11</v>
      </c>
      <c r="D30" t="s">
        <v>12</v>
      </c>
      <c r="E30" s="1">
        <v>8</v>
      </c>
      <c r="F30" t="s">
        <v>13</v>
      </c>
      <c r="G30" s="1">
        <v>201600</v>
      </c>
      <c r="H30" s="2">
        <f t="shared" si="0"/>
        <v>201.6</v>
      </c>
      <c r="I30" s="1" t="s">
        <v>19</v>
      </c>
      <c r="J30">
        <v>0</v>
      </c>
      <c r="K30" s="9">
        <v>0</v>
      </c>
    </row>
    <row r="31" spans="1:11" ht="27" customHeight="1">
      <c r="A31">
        <v>30</v>
      </c>
      <c r="B31" s="8">
        <v>44375</v>
      </c>
      <c r="C31" t="s">
        <v>11</v>
      </c>
      <c r="D31" t="s">
        <v>12</v>
      </c>
      <c r="E31" s="1">
        <v>5</v>
      </c>
      <c r="F31" t="s">
        <v>13</v>
      </c>
      <c r="G31" s="1">
        <v>126000</v>
      </c>
      <c r="H31" s="2">
        <f t="shared" si="0"/>
        <v>126</v>
      </c>
      <c r="I31" s="1" t="s">
        <v>14</v>
      </c>
      <c r="J31">
        <v>0</v>
      </c>
      <c r="K31" s="9">
        <v>0</v>
      </c>
    </row>
    <row r="32" spans="1:11" ht="19.5" customHeight="1">
      <c r="A32">
        <v>31</v>
      </c>
      <c r="B32" s="8">
        <v>44375</v>
      </c>
      <c r="C32" t="s">
        <v>11</v>
      </c>
      <c r="D32" t="s">
        <v>12</v>
      </c>
      <c r="E32" s="1">
        <v>2</v>
      </c>
      <c r="F32" t="s">
        <v>13</v>
      </c>
      <c r="G32" s="1">
        <v>50400</v>
      </c>
      <c r="H32" s="2">
        <f t="shared" si="0"/>
        <v>50.4</v>
      </c>
      <c r="I32" s="1" t="s">
        <v>19</v>
      </c>
      <c r="J32">
        <v>0</v>
      </c>
      <c r="K32" s="9">
        <v>0</v>
      </c>
    </row>
    <row r="33" spans="1:11" ht="17.25" customHeight="1">
      <c r="A33">
        <v>32</v>
      </c>
      <c r="B33" s="8">
        <v>44387</v>
      </c>
      <c r="C33" t="s">
        <v>11</v>
      </c>
      <c r="D33" t="s">
        <v>12</v>
      </c>
      <c r="E33" s="1">
        <v>3</v>
      </c>
      <c r="F33" t="s">
        <v>13</v>
      </c>
      <c r="G33" s="1">
        <v>75600</v>
      </c>
      <c r="H33" s="2">
        <f t="shared" si="0"/>
        <v>75.599999999999994</v>
      </c>
      <c r="I33" s="1" t="s">
        <v>19</v>
      </c>
      <c r="J33">
        <v>0</v>
      </c>
      <c r="K33" s="9">
        <v>0</v>
      </c>
    </row>
    <row r="34" spans="1:11">
      <c r="A34">
        <v>33</v>
      </c>
      <c r="B34" s="8">
        <v>44387</v>
      </c>
      <c r="C34" t="s">
        <v>11</v>
      </c>
      <c r="D34" t="s">
        <v>12</v>
      </c>
      <c r="E34" s="1">
        <v>5</v>
      </c>
      <c r="F34" t="s">
        <v>13</v>
      </c>
      <c r="G34" s="1">
        <v>126000</v>
      </c>
      <c r="H34" s="2">
        <f t="shared" si="0"/>
        <v>126</v>
      </c>
      <c r="I34" s="1" t="s">
        <v>19</v>
      </c>
      <c r="J34">
        <v>0</v>
      </c>
      <c r="K34" s="9">
        <v>0</v>
      </c>
    </row>
    <row r="35" spans="1:11" ht="14.25" customHeight="1">
      <c r="A35">
        <v>34</v>
      </c>
      <c r="B35" s="8">
        <v>44387</v>
      </c>
      <c r="C35" t="s">
        <v>11</v>
      </c>
      <c r="D35" t="s">
        <v>12</v>
      </c>
      <c r="E35" s="1">
        <v>1</v>
      </c>
      <c r="F35" t="s">
        <v>13</v>
      </c>
      <c r="G35" s="1">
        <v>17370</v>
      </c>
      <c r="H35" s="2">
        <f t="shared" si="0"/>
        <v>17.37</v>
      </c>
      <c r="I35" s="1" t="s">
        <v>26</v>
      </c>
      <c r="J35">
        <v>0</v>
      </c>
      <c r="K35" s="9">
        <v>0</v>
      </c>
    </row>
    <row r="36" spans="1:11" ht="20.25" customHeight="1">
      <c r="A36">
        <v>35</v>
      </c>
      <c r="B36" s="8">
        <v>44453</v>
      </c>
      <c r="C36" t="s">
        <v>11</v>
      </c>
      <c r="D36" t="s">
        <v>12</v>
      </c>
      <c r="E36" s="1">
        <v>2</v>
      </c>
      <c r="F36" t="s">
        <v>23</v>
      </c>
      <c r="G36" s="1">
        <v>45758</v>
      </c>
      <c r="H36" s="2">
        <f t="shared" si="0"/>
        <v>45.758000000000003</v>
      </c>
      <c r="I36" s="1" t="s">
        <v>24</v>
      </c>
      <c r="J36">
        <v>0</v>
      </c>
      <c r="K36" s="9">
        <v>0</v>
      </c>
    </row>
    <row r="37" spans="1:11">
      <c r="A37">
        <v>36</v>
      </c>
      <c r="B37" s="8">
        <v>44469</v>
      </c>
      <c r="C37" t="s">
        <v>11</v>
      </c>
      <c r="D37" t="s">
        <v>12</v>
      </c>
      <c r="E37" s="1">
        <v>4</v>
      </c>
      <c r="F37" t="s">
        <v>27</v>
      </c>
      <c r="G37" s="1">
        <v>88100</v>
      </c>
      <c r="H37" s="2">
        <f t="shared" si="0"/>
        <v>88.1</v>
      </c>
      <c r="I37" s="1" t="s">
        <v>24</v>
      </c>
      <c r="J37">
        <v>0</v>
      </c>
      <c r="K37" s="9">
        <v>0</v>
      </c>
    </row>
    <row r="38" spans="1:11">
      <c r="A38">
        <v>37</v>
      </c>
      <c r="B38" s="8">
        <v>44484</v>
      </c>
      <c r="C38" t="s">
        <v>11</v>
      </c>
      <c r="D38" t="s">
        <v>12</v>
      </c>
      <c r="E38" s="1">
        <v>3</v>
      </c>
      <c r="F38" t="s">
        <v>27</v>
      </c>
      <c r="G38" s="1">
        <v>70200</v>
      </c>
      <c r="H38" s="2">
        <f t="shared" si="0"/>
        <v>70.2</v>
      </c>
      <c r="I38" s="1" t="s">
        <v>24</v>
      </c>
      <c r="J38">
        <v>0</v>
      </c>
      <c r="K38" s="9">
        <v>0</v>
      </c>
    </row>
    <row r="39" spans="1:11">
      <c r="A39">
        <v>38</v>
      </c>
      <c r="B39" s="8">
        <v>44491</v>
      </c>
      <c r="C39" t="s">
        <v>11</v>
      </c>
      <c r="D39" t="s">
        <v>12</v>
      </c>
      <c r="E39" s="1">
        <v>1</v>
      </c>
      <c r="F39" t="s">
        <v>28</v>
      </c>
      <c r="G39" s="1">
        <v>23480</v>
      </c>
      <c r="H39" s="2">
        <f t="shared" si="0"/>
        <v>23.48</v>
      </c>
      <c r="I39" s="1" t="s">
        <v>24</v>
      </c>
      <c r="J39">
        <v>0</v>
      </c>
      <c r="K39" s="9">
        <v>0</v>
      </c>
    </row>
    <row r="40" spans="1:11">
      <c r="A40">
        <v>39</v>
      </c>
      <c r="B40" s="8">
        <v>44491</v>
      </c>
      <c r="C40" t="s">
        <v>11</v>
      </c>
      <c r="D40" t="s">
        <v>12</v>
      </c>
      <c r="E40" s="1">
        <v>5</v>
      </c>
      <c r="F40" t="s">
        <v>27</v>
      </c>
      <c r="G40" s="1">
        <v>119220</v>
      </c>
      <c r="H40" s="2">
        <f t="shared" si="0"/>
        <v>119.22</v>
      </c>
      <c r="I40" s="1" t="s">
        <v>29</v>
      </c>
      <c r="J40">
        <v>0</v>
      </c>
      <c r="K40" s="9">
        <v>0</v>
      </c>
    </row>
    <row r="41" spans="1:11">
      <c r="A41">
        <v>40</v>
      </c>
      <c r="B41" s="8">
        <v>44491</v>
      </c>
      <c r="C41" t="s">
        <v>11</v>
      </c>
      <c r="D41" t="s">
        <v>12</v>
      </c>
      <c r="E41" s="1">
        <v>3</v>
      </c>
      <c r="F41" t="s">
        <v>28</v>
      </c>
      <c r="G41" s="1">
        <v>75250</v>
      </c>
      <c r="H41" s="2">
        <f t="shared" si="0"/>
        <v>75.25</v>
      </c>
      <c r="I41" s="1" t="s">
        <v>30</v>
      </c>
      <c r="J41">
        <v>0</v>
      </c>
      <c r="K41" s="9">
        <v>0</v>
      </c>
    </row>
    <row r="42" spans="1:11">
      <c r="A42">
        <v>41</v>
      </c>
      <c r="B42" s="8">
        <v>44538</v>
      </c>
      <c r="C42" t="s">
        <v>11</v>
      </c>
      <c r="D42" t="s">
        <v>12</v>
      </c>
      <c r="E42" s="1">
        <v>3</v>
      </c>
      <c r="F42" t="s">
        <v>27</v>
      </c>
      <c r="G42" s="1">
        <v>70766</v>
      </c>
      <c r="H42" s="2">
        <f t="shared" si="0"/>
        <v>70.766000000000005</v>
      </c>
      <c r="I42" s="1" t="s">
        <v>24</v>
      </c>
      <c r="J42">
        <v>0</v>
      </c>
      <c r="K42" s="9">
        <v>0</v>
      </c>
    </row>
    <row r="43" spans="1:11">
      <c r="A43">
        <v>42</v>
      </c>
      <c r="B43" s="8">
        <v>44552</v>
      </c>
      <c r="C43" t="s">
        <v>11</v>
      </c>
      <c r="D43" t="s">
        <v>12</v>
      </c>
      <c r="E43" s="1">
        <v>9</v>
      </c>
      <c r="F43" t="s">
        <v>27</v>
      </c>
      <c r="G43" s="1">
        <v>211998</v>
      </c>
      <c r="H43" s="2">
        <f t="shared" si="0"/>
        <v>211.99799999999999</v>
      </c>
      <c r="I43" s="1" t="s">
        <v>24</v>
      </c>
      <c r="J43">
        <v>0</v>
      </c>
      <c r="K43" s="9">
        <v>0</v>
      </c>
    </row>
    <row r="44" spans="1:11">
      <c r="A44">
        <v>43</v>
      </c>
      <c r="B44" s="8">
        <v>44574</v>
      </c>
      <c r="C44" t="s">
        <v>11</v>
      </c>
      <c r="D44" t="s">
        <v>12</v>
      </c>
      <c r="E44" s="1">
        <v>6</v>
      </c>
      <c r="F44" t="s">
        <v>27</v>
      </c>
      <c r="G44" s="1">
        <v>141332</v>
      </c>
      <c r="H44" s="2">
        <f t="shared" si="0"/>
        <v>141.33199999999999</v>
      </c>
      <c r="I44" s="1" t="s">
        <v>24</v>
      </c>
      <c r="J44">
        <v>0</v>
      </c>
      <c r="K44" s="9">
        <v>0</v>
      </c>
    </row>
    <row r="45" spans="1:11">
      <c r="A45">
        <v>44</v>
      </c>
      <c r="B45" s="8">
        <v>44581</v>
      </c>
      <c r="C45" t="s">
        <v>11</v>
      </c>
      <c r="D45" t="s">
        <v>12</v>
      </c>
      <c r="E45" s="1">
        <v>3</v>
      </c>
      <c r="F45" t="s">
        <v>27</v>
      </c>
      <c r="G45" s="1">
        <v>70666</v>
      </c>
      <c r="H45" s="2">
        <f t="shared" si="0"/>
        <v>70.665999999999997</v>
      </c>
      <c r="I45" s="1" t="s">
        <v>24</v>
      </c>
      <c r="J45">
        <v>0</v>
      </c>
      <c r="K45" s="9">
        <v>0</v>
      </c>
    </row>
    <row r="46" spans="1:11" ht="15" customHeight="1">
      <c r="A46">
        <v>45</v>
      </c>
      <c r="B46" s="8">
        <v>44594</v>
      </c>
      <c r="C46" t="s">
        <v>11</v>
      </c>
      <c r="D46" t="s">
        <v>12</v>
      </c>
      <c r="E46" s="1">
        <v>3</v>
      </c>
      <c r="F46" t="s">
        <v>27</v>
      </c>
      <c r="G46" s="1">
        <v>71000</v>
      </c>
      <c r="H46" s="2">
        <f t="shared" si="0"/>
        <v>71</v>
      </c>
      <c r="I46" s="1" t="s">
        <v>24</v>
      </c>
      <c r="J46">
        <v>0</v>
      </c>
      <c r="K46" s="9">
        <v>0</v>
      </c>
    </row>
    <row r="47" spans="1:11" ht="20.25" customHeight="1">
      <c r="A47">
        <v>46</v>
      </c>
      <c r="B47" s="8">
        <v>44599</v>
      </c>
      <c r="C47" t="s">
        <v>11</v>
      </c>
      <c r="D47" t="s">
        <v>12</v>
      </c>
      <c r="E47" s="1">
        <v>1</v>
      </c>
      <c r="F47" t="s">
        <v>23</v>
      </c>
      <c r="G47" s="1">
        <v>23940</v>
      </c>
      <c r="H47" s="2">
        <f t="shared" si="0"/>
        <v>23.94</v>
      </c>
      <c r="I47" s="1" t="s">
        <v>31</v>
      </c>
      <c r="J47">
        <v>0</v>
      </c>
      <c r="K47" s="9">
        <v>0</v>
      </c>
    </row>
    <row r="48" spans="1:11" ht="18.75" customHeight="1">
      <c r="A48">
        <v>47</v>
      </c>
      <c r="B48" s="8">
        <v>44613</v>
      </c>
      <c r="C48" t="s">
        <v>11</v>
      </c>
      <c r="D48" t="s">
        <v>12</v>
      </c>
      <c r="E48" s="1">
        <v>2</v>
      </c>
      <c r="F48" t="s">
        <v>32</v>
      </c>
      <c r="G48" s="1">
        <v>30136.400000000001</v>
      </c>
      <c r="H48" s="2">
        <f t="shared" si="0"/>
        <v>30.136400000000002</v>
      </c>
      <c r="I48" s="1" t="s">
        <v>33</v>
      </c>
      <c r="J48">
        <v>0</v>
      </c>
      <c r="K48" s="9">
        <v>0</v>
      </c>
    </row>
    <row r="49" spans="1:11" ht="24.75" customHeight="1">
      <c r="A49">
        <v>48</v>
      </c>
      <c r="B49" s="8">
        <v>44623</v>
      </c>
      <c r="C49" t="s">
        <v>11</v>
      </c>
      <c r="D49" t="s">
        <v>12</v>
      </c>
      <c r="E49" s="1">
        <v>4</v>
      </c>
      <c r="F49" t="s">
        <v>23</v>
      </c>
      <c r="G49" s="1">
        <v>100190.32</v>
      </c>
      <c r="H49" s="2">
        <f t="shared" si="0"/>
        <v>100.19032000000001</v>
      </c>
      <c r="I49" s="1" t="s">
        <v>24</v>
      </c>
      <c r="J49">
        <v>0</v>
      </c>
      <c r="K49" s="9">
        <v>0</v>
      </c>
    </row>
    <row r="50" spans="1:11" ht="22.5" customHeight="1">
      <c r="A50">
        <v>49</v>
      </c>
      <c r="B50" s="8">
        <v>44623</v>
      </c>
      <c r="C50" t="s">
        <v>11</v>
      </c>
      <c r="D50" t="s">
        <v>12</v>
      </c>
      <c r="E50" s="1">
        <v>4</v>
      </c>
      <c r="F50" t="s">
        <v>13</v>
      </c>
      <c r="G50" s="1">
        <v>100880</v>
      </c>
      <c r="H50" s="2">
        <f t="shared" si="0"/>
        <v>100.88</v>
      </c>
      <c r="I50" s="1" t="s">
        <v>14</v>
      </c>
      <c r="J50">
        <v>0</v>
      </c>
      <c r="K50" s="9">
        <v>0</v>
      </c>
    </row>
    <row r="51" spans="1:11" ht="24" customHeight="1">
      <c r="A51">
        <v>50</v>
      </c>
      <c r="B51" s="8">
        <v>44628</v>
      </c>
      <c r="C51" t="s">
        <v>11</v>
      </c>
      <c r="D51" t="s">
        <v>12</v>
      </c>
      <c r="E51" s="1">
        <v>4</v>
      </c>
      <c r="F51" t="s">
        <v>13</v>
      </c>
      <c r="G51" s="1">
        <v>100800</v>
      </c>
      <c r="H51" s="2">
        <f t="shared" si="0"/>
        <v>100.8</v>
      </c>
      <c r="I51" s="1" t="s">
        <v>14</v>
      </c>
      <c r="J51">
        <v>0</v>
      </c>
      <c r="K51" s="9">
        <v>0</v>
      </c>
    </row>
    <row r="52" spans="1:11" ht="15.75" customHeight="1">
      <c r="A52">
        <v>51</v>
      </c>
      <c r="B52" s="8">
        <v>44643</v>
      </c>
      <c r="C52" t="s">
        <v>11</v>
      </c>
      <c r="D52" t="s">
        <v>12</v>
      </c>
      <c r="E52" s="1">
        <v>8</v>
      </c>
      <c r="F52" t="s">
        <v>13</v>
      </c>
      <c r="G52" s="1">
        <v>201600</v>
      </c>
      <c r="H52" s="2">
        <f t="shared" si="0"/>
        <v>201.6</v>
      </c>
      <c r="I52" s="1" t="s">
        <v>14</v>
      </c>
      <c r="J52">
        <v>0</v>
      </c>
      <c r="K52" s="9">
        <v>0</v>
      </c>
    </row>
    <row r="53" spans="1:11" ht="17.25" customHeight="1">
      <c r="A53">
        <v>52</v>
      </c>
      <c r="B53" s="8">
        <v>44638</v>
      </c>
      <c r="C53" t="s">
        <v>11</v>
      </c>
      <c r="D53" t="s">
        <v>12</v>
      </c>
      <c r="E53" s="1">
        <v>1</v>
      </c>
      <c r="F53" t="s">
        <v>13</v>
      </c>
      <c r="G53" s="1">
        <v>25200</v>
      </c>
      <c r="H53" s="2">
        <f t="shared" si="0"/>
        <v>25.2</v>
      </c>
      <c r="I53" s="1" t="s">
        <v>24</v>
      </c>
      <c r="J53">
        <v>0</v>
      </c>
      <c r="K53" s="9">
        <v>0</v>
      </c>
    </row>
    <row r="54" spans="1:11" ht="27" customHeight="1">
      <c r="A54">
        <v>53</v>
      </c>
      <c r="B54" s="8">
        <v>44638</v>
      </c>
      <c r="C54" t="s">
        <v>11</v>
      </c>
      <c r="D54" t="s">
        <v>12</v>
      </c>
      <c r="E54" s="1">
        <v>3</v>
      </c>
      <c r="F54" t="s">
        <v>23</v>
      </c>
      <c r="G54" s="1">
        <v>75300</v>
      </c>
      <c r="H54" s="2">
        <f t="shared" si="0"/>
        <v>75.3</v>
      </c>
      <c r="I54" s="1" t="s">
        <v>24</v>
      </c>
      <c r="J54">
        <v>0</v>
      </c>
      <c r="K54" s="9">
        <v>0</v>
      </c>
    </row>
    <row r="55" spans="1:11" ht="24.75" customHeight="1">
      <c r="A55">
        <v>54</v>
      </c>
      <c r="B55" s="8">
        <v>44644</v>
      </c>
      <c r="C55" t="s">
        <v>11</v>
      </c>
      <c r="D55" t="s">
        <v>12</v>
      </c>
      <c r="E55" s="1">
        <v>6</v>
      </c>
      <c r="F55" t="s">
        <v>13</v>
      </c>
      <c r="G55" s="1">
        <v>151200</v>
      </c>
      <c r="H55" s="2">
        <f t="shared" si="0"/>
        <v>151.19999999999999</v>
      </c>
      <c r="I55" s="1" t="s">
        <v>14</v>
      </c>
      <c r="J55">
        <v>0</v>
      </c>
      <c r="K55" s="9">
        <v>0</v>
      </c>
    </row>
    <row r="56" spans="1:11" ht="26.25" customHeight="1">
      <c r="A56">
        <v>55</v>
      </c>
      <c r="B56" s="8">
        <v>44650</v>
      </c>
      <c r="C56" t="s">
        <v>11</v>
      </c>
      <c r="D56" t="s">
        <v>12</v>
      </c>
      <c r="E56" s="1">
        <v>1</v>
      </c>
      <c r="F56" t="s">
        <v>23</v>
      </c>
      <c r="G56" s="1">
        <v>25100</v>
      </c>
      <c r="H56" s="2">
        <f t="shared" si="0"/>
        <v>25.1</v>
      </c>
      <c r="I56" s="1" t="s">
        <v>34</v>
      </c>
      <c r="J56">
        <v>0</v>
      </c>
      <c r="K56" s="9">
        <v>0</v>
      </c>
    </row>
    <row r="57" spans="1:11" ht="34.5" customHeight="1">
      <c r="A57">
        <v>56</v>
      </c>
      <c r="B57" s="8">
        <v>44650</v>
      </c>
      <c r="C57" t="s">
        <v>11</v>
      </c>
      <c r="D57" t="s">
        <v>12</v>
      </c>
      <c r="E57" s="1">
        <v>8</v>
      </c>
      <c r="F57" t="s">
        <v>13</v>
      </c>
      <c r="G57" s="1">
        <v>201600</v>
      </c>
      <c r="H57" s="2">
        <f t="shared" si="0"/>
        <v>201.6</v>
      </c>
      <c r="I57" s="1" t="s">
        <v>14</v>
      </c>
      <c r="J57">
        <v>0</v>
      </c>
      <c r="K57" s="9">
        <v>0</v>
      </c>
    </row>
    <row r="58" spans="1:11" ht="29.25" customHeight="1">
      <c r="A58">
        <v>57</v>
      </c>
      <c r="B58" s="8">
        <v>44657</v>
      </c>
      <c r="C58" t="s">
        <v>11</v>
      </c>
      <c r="D58" t="s">
        <v>12</v>
      </c>
      <c r="E58" s="1">
        <v>1</v>
      </c>
      <c r="F58" t="s">
        <v>35</v>
      </c>
      <c r="G58" s="1">
        <v>28000</v>
      </c>
      <c r="H58" s="2">
        <f t="shared" si="0"/>
        <v>28</v>
      </c>
      <c r="I58" s="1" t="s">
        <v>36</v>
      </c>
      <c r="J58">
        <v>0</v>
      </c>
      <c r="K58" s="9">
        <v>0</v>
      </c>
    </row>
    <row r="59" spans="1:11" ht="34.5" customHeight="1">
      <c r="A59">
        <v>58</v>
      </c>
      <c r="B59" s="8">
        <v>44657</v>
      </c>
      <c r="C59" t="s">
        <v>11</v>
      </c>
      <c r="D59" t="s">
        <v>12</v>
      </c>
      <c r="E59" s="1">
        <v>2</v>
      </c>
      <c r="F59" t="s">
        <v>35</v>
      </c>
      <c r="G59" s="1">
        <v>28000</v>
      </c>
      <c r="H59" s="2">
        <f t="shared" si="0"/>
        <v>28</v>
      </c>
      <c r="I59" s="1" t="s">
        <v>36</v>
      </c>
      <c r="J59">
        <v>0</v>
      </c>
      <c r="K59" s="9">
        <v>0</v>
      </c>
    </row>
    <row r="60" spans="1:11" ht="24" customHeight="1">
      <c r="A60">
        <v>59</v>
      </c>
      <c r="B60" s="8">
        <v>44657</v>
      </c>
      <c r="C60" t="s">
        <v>11</v>
      </c>
      <c r="D60" t="s">
        <v>12</v>
      </c>
      <c r="E60" s="1">
        <v>1</v>
      </c>
      <c r="F60" t="s">
        <v>35</v>
      </c>
      <c r="G60" s="1">
        <v>28000</v>
      </c>
      <c r="H60" s="2">
        <f t="shared" si="0"/>
        <v>28</v>
      </c>
      <c r="I60" s="1" t="s">
        <v>36</v>
      </c>
      <c r="J60">
        <v>0</v>
      </c>
      <c r="K60" s="9">
        <v>0</v>
      </c>
    </row>
    <row r="61" spans="1:11" ht="24" customHeight="1">
      <c r="A61">
        <v>60</v>
      </c>
      <c r="B61" s="8">
        <v>44657</v>
      </c>
      <c r="C61" t="s">
        <v>11</v>
      </c>
      <c r="D61" t="s">
        <v>12</v>
      </c>
      <c r="E61" s="1">
        <v>2</v>
      </c>
      <c r="F61" t="s">
        <v>35</v>
      </c>
      <c r="G61" s="1">
        <v>56280</v>
      </c>
      <c r="H61" s="2">
        <f t="shared" si="0"/>
        <v>56.28</v>
      </c>
      <c r="I61" s="1" t="s">
        <v>36</v>
      </c>
      <c r="J61">
        <v>0</v>
      </c>
      <c r="K61" s="9">
        <v>0</v>
      </c>
    </row>
    <row r="62" spans="1:11" ht="31.5" customHeight="1">
      <c r="A62">
        <v>61</v>
      </c>
      <c r="B62" s="8">
        <v>44644</v>
      </c>
      <c r="C62" t="s">
        <v>11</v>
      </c>
      <c r="D62" t="s">
        <v>37</v>
      </c>
      <c r="E62" s="1">
        <v>0</v>
      </c>
      <c r="F62" t="s">
        <v>35</v>
      </c>
      <c r="G62" s="1">
        <v>0</v>
      </c>
      <c r="H62" s="2">
        <f t="shared" si="0"/>
        <v>0</v>
      </c>
      <c r="I62" s="1" t="s">
        <v>38</v>
      </c>
      <c r="J62">
        <v>0</v>
      </c>
      <c r="K62" s="9">
        <v>26250</v>
      </c>
    </row>
    <row r="63" spans="1:11" ht="36.75" customHeight="1">
      <c r="A63">
        <v>62</v>
      </c>
      <c r="B63" s="8">
        <v>44662</v>
      </c>
      <c r="C63" t="s">
        <v>11</v>
      </c>
      <c r="D63" t="s">
        <v>12</v>
      </c>
      <c r="E63" s="1">
        <v>1</v>
      </c>
      <c r="F63" t="s">
        <v>23</v>
      </c>
      <c r="G63" s="1">
        <v>25280</v>
      </c>
      <c r="H63" s="2">
        <f t="shared" si="0"/>
        <v>25.28</v>
      </c>
      <c r="I63" s="1" t="s">
        <v>24</v>
      </c>
      <c r="J63">
        <v>0</v>
      </c>
      <c r="K63" s="9">
        <v>0</v>
      </c>
    </row>
    <row r="64" spans="1:11" ht="26.25" customHeight="1">
      <c r="A64">
        <v>63</v>
      </c>
      <c r="B64" s="8">
        <v>44662</v>
      </c>
      <c r="C64" t="s">
        <v>11</v>
      </c>
      <c r="D64" t="s">
        <v>12</v>
      </c>
      <c r="E64" s="1">
        <v>4</v>
      </c>
      <c r="F64" t="s">
        <v>13</v>
      </c>
      <c r="G64" s="1">
        <v>101220</v>
      </c>
      <c r="H64" s="2">
        <f t="shared" si="0"/>
        <v>101.22</v>
      </c>
      <c r="I64" s="1" t="s">
        <v>14</v>
      </c>
      <c r="J64">
        <v>0</v>
      </c>
      <c r="K64" s="9">
        <v>0</v>
      </c>
    </row>
    <row r="65" spans="1:11" ht="38.25" customHeight="1">
      <c r="A65">
        <v>64</v>
      </c>
      <c r="B65" s="8">
        <v>44664</v>
      </c>
      <c r="C65" t="s">
        <v>11</v>
      </c>
      <c r="D65" t="s">
        <v>12</v>
      </c>
      <c r="E65" s="1">
        <v>1</v>
      </c>
      <c r="F65" t="s">
        <v>13</v>
      </c>
      <c r="G65" s="1">
        <v>25560</v>
      </c>
      <c r="H65" s="2">
        <f t="shared" si="0"/>
        <v>25.56</v>
      </c>
      <c r="I65" s="1" t="s">
        <v>21</v>
      </c>
      <c r="J65">
        <v>0</v>
      </c>
      <c r="K65" s="9">
        <v>0</v>
      </c>
    </row>
    <row r="66" spans="1:11" ht="24.75" customHeight="1">
      <c r="A66">
        <v>65</v>
      </c>
      <c r="B66" s="8">
        <v>44662</v>
      </c>
      <c r="C66" t="s">
        <v>11</v>
      </c>
      <c r="D66" t="s">
        <v>12</v>
      </c>
      <c r="E66" s="1">
        <v>2</v>
      </c>
      <c r="F66" t="s">
        <v>13</v>
      </c>
      <c r="G66" s="1">
        <v>25360</v>
      </c>
      <c r="H66" s="2">
        <f t="shared" ref="H66:H129" si="1">G66/1000</f>
        <v>25.36</v>
      </c>
      <c r="I66" s="1" t="s">
        <v>14</v>
      </c>
      <c r="J66">
        <v>0</v>
      </c>
      <c r="K66" s="9">
        <v>0</v>
      </c>
    </row>
    <row r="67" spans="1:11" ht="29.25" customHeight="1">
      <c r="A67">
        <v>66</v>
      </c>
      <c r="B67" s="8">
        <v>44662</v>
      </c>
      <c r="C67" t="s">
        <v>11</v>
      </c>
      <c r="D67" t="s">
        <v>12</v>
      </c>
      <c r="E67" s="1">
        <v>1</v>
      </c>
      <c r="F67" t="s">
        <v>13</v>
      </c>
      <c r="G67" s="1">
        <v>28880</v>
      </c>
      <c r="H67" s="2">
        <f t="shared" si="1"/>
        <v>28.88</v>
      </c>
      <c r="I67" s="1" t="s">
        <v>31</v>
      </c>
      <c r="J67">
        <v>0</v>
      </c>
      <c r="K67" s="9">
        <v>0</v>
      </c>
    </row>
    <row r="68" spans="1:11" ht="45.75" customHeight="1">
      <c r="A68">
        <v>67</v>
      </c>
      <c r="B68" s="8">
        <v>44664</v>
      </c>
      <c r="C68" t="s">
        <v>11</v>
      </c>
      <c r="D68" t="s">
        <v>12</v>
      </c>
      <c r="E68" s="1">
        <v>2</v>
      </c>
      <c r="F68" t="s">
        <v>13</v>
      </c>
      <c r="G68" s="1">
        <v>50960</v>
      </c>
      <c r="H68" s="2">
        <f t="shared" si="1"/>
        <v>50.96</v>
      </c>
      <c r="I68" s="1" t="s">
        <v>18</v>
      </c>
      <c r="J68">
        <v>0</v>
      </c>
      <c r="K68" s="9">
        <v>0</v>
      </c>
    </row>
    <row r="69" spans="1:11" ht="36" customHeight="1">
      <c r="A69">
        <v>68</v>
      </c>
      <c r="B69" s="8">
        <v>44664</v>
      </c>
      <c r="C69" t="s">
        <v>11</v>
      </c>
      <c r="D69" t="s">
        <v>12</v>
      </c>
      <c r="E69" s="1">
        <v>1</v>
      </c>
      <c r="F69" t="s">
        <v>23</v>
      </c>
      <c r="G69" s="1">
        <v>26820</v>
      </c>
      <c r="H69" s="2">
        <f t="shared" si="1"/>
        <v>26.82</v>
      </c>
      <c r="I69" s="1" t="s">
        <v>39</v>
      </c>
      <c r="J69">
        <v>0</v>
      </c>
      <c r="K69" s="9">
        <v>0</v>
      </c>
    </row>
    <row r="70" spans="1:11">
      <c r="A70">
        <v>69</v>
      </c>
      <c r="B70" s="8">
        <v>44663</v>
      </c>
      <c r="C70" t="s">
        <v>11</v>
      </c>
      <c r="D70" t="s">
        <v>37</v>
      </c>
      <c r="E70" s="1">
        <v>0</v>
      </c>
      <c r="F70" t="s">
        <v>27</v>
      </c>
      <c r="G70" s="1">
        <v>0</v>
      </c>
      <c r="H70" s="2">
        <f t="shared" si="1"/>
        <v>0</v>
      </c>
      <c r="I70" s="1" t="s">
        <v>38</v>
      </c>
      <c r="J70">
        <v>0</v>
      </c>
      <c r="K70" s="9">
        <v>22500</v>
      </c>
    </row>
    <row r="71" spans="1:11" ht="18" customHeight="1">
      <c r="A71">
        <v>70</v>
      </c>
      <c r="B71" s="8">
        <v>44672</v>
      </c>
      <c r="C71" t="s">
        <v>11</v>
      </c>
      <c r="D71" t="s">
        <v>12</v>
      </c>
      <c r="E71" s="1">
        <v>1</v>
      </c>
      <c r="F71" t="s">
        <v>35</v>
      </c>
      <c r="G71" s="1">
        <v>28000</v>
      </c>
      <c r="H71" s="2">
        <f t="shared" si="1"/>
        <v>28</v>
      </c>
      <c r="I71" s="1" t="s">
        <v>36</v>
      </c>
      <c r="J71">
        <v>0</v>
      </c>
      <c r="K71" s="9">
        <v>0</v>
      </c>
    </row>
    <row r="72" spans="1:11" ht="18.75" customHeight="1">
      <c r="A72">
        <v>71</v>
      </c>
      <c r="B72" s="8">
        <v>44672</v>
      </c>
      <c r="C72" t="s">
        <v>11</v>
      </c>
      <c r="D72" t="s">
        <v>12</v>
      </c>
      <c r="E72" s="1">
        <v>4</v>
      </c>
      <c r="F72" t="s">
        <v>35</v>
      </c>
      <c r="G72" s="1">
        <v>112560</v>
      </c>
      <c r="H72" s="2">
        <f t="shared" si="1"/>
        <v>112.56</v>
      </c>
      <c r="I72" s="1" t="s">
        <v>36</v>
      </c>
      <c r="J72">
        <v>0</v>
      </c>
      <c r="K72" s="9">
        <v>0</v>
      </c>
    </row>
    <row r="73" spans="1:11" ht="15" customHeight="1">
      <c r="A73">
        <v>72</v>
      </c>
      <c r="B73" s="8">
        <v>44685</v>
      </c>
      <c r="C73" t="s">
        <v>11</v>
      </c>
      <c r="D73" t="s">
        <v>12</v>
      </c>
      <c r="E73" s="1">
        <v>2</v>
      </c>
      <c r="F73" t="s">
        <v>13</v>
      </c>
      <c r="G73" s="1">
        <v>63100</v>
      </c>
      <c r="H73" s="2">
        <f t="shared" si="1"/>
        <v>63.1</v>
      </c>
      <c r="I73" s="1" t="s">
        <v>16</v>
      </c>
      <c r="J73">
        <v>0</v>
      </c>
      <c r="K73" s="9">
        <v>0</v>
      </c>
    </row>
    <row r="74" spans="1:11" ht="20.25" customHeight="1">
      <c r="A74">
        <v>73</v>
      </c>
      <c r="B74" s="8">
        <v>44699</v>
      </c>
      <c r="C74" t="s">
        <v>11</v>
      </c>
      <c r="D74" t="s">
        <v>12</v>
      </c>
      <c r="E74" s="1">
        <v>10</v>
      </c>
      <c r="F74" t="s">
        <v>27</v>
      </c>
      <c r="G74" s="1">
        <v>253876</v>
      </c>
      <c r="H74" s="2">
        <f t="shared" si="1"/>
        <v>253.876</v>
      </c>
      <c r="I74" s="1" t="s">
        <v>40</v>
      </c>
      <c r="J74">
        <v>0</v>
      </c>
      <c r="K74" s="9">
        <v>0</v>
      </c>
    </row>
    <row r="75" spans="1:11" ht="30" customHeight="1">
      <c r="A75">
        <v>74</v>
      </c>
      <c r="B75" s="8">
        <v>44685</v>
      </c>
      <c r="C75" t="s">
        <v>11</v>
      </c>
      <c r="D75" t="s">
        <v>12</v>
      </c>
      <c r="E75" s="1">
        <v>6</v>
      </c>
      <c r="F75" t="s">
        <v>13</v>
      </c>
      <c r="G75" s="1">
        <v>100860</v>
      </c>
      <c r="H75" s="2">
        <f t="shared" si="1"/>
        <v>100.86</v>
      </c>
      <c r="I75" s="1" t="s">
        <v>14</v>
      </c>
      <c r="J75">
        <v>0</v>
      </c>
      <c r="K75" s="9">
        <v>0</v>
      </c>
    </row>
    <row r="76" spans="1:11" ht="23.25" customHeight="1">
      <c r="A76">
        <v>75</v>
      </c>
      <c r="B76" s="8">
        <v>44685</v>
      </c>
      <c r="C76" t="s">
        <v>11</v>
      </c>
      <c r="D76" t="s">
        <v>12</v>
      </c>
      <c r="E76" s="1">
        <v>1</v>
      </c>
      <c r="F76" t="s">
        <v>13</v>
      </c>
      <c r="G76" s="1">
        <v>25540</v>
      </c>
      <c r="H76" s="2">
        <f t="shared" si="1"/>
        <v>25.54</v>
      </c>
      <c r="I76" s="1" t="s">
        <v>22</v>
      </c>
      <c r="J76">
        <v>0</v>
      </c>
      <c r="K76" s="9">
        <v>0</v>
      </c>
    </row>
    <row r="77" spans="1:11" ht="26.25" customHeight="1">
      <c r="A77">
        <v>76</v>
      </c>
      <c r="B77" s="8">
        <v>44686</v>
      </c>
      <c r="C77" t="s">
        <v>11</v>
      </c>
      <c r="D77" t="s">
        <v>12</v>
      </c>
      <c r="E77" s="1">
        <v>2</v>
      </c>
      <c r="F77" t="s">
        <v>13</v>
      </c>
      <c r="G77" s="1">
        <v>50500</v>
      </c>
      <c r="H77" s="2">
        <f t="shared" si="1"/>
        <v>50.5</v>
      </c>
      <c r="I77" s="1" t="s">
        <v>20</v>
      </c>
      <c r="J77">
        <v>0</v>
      </c>
      <c r="K77" s="9">
        <v>0</v>
      </c>
    </row>
    <row r="78" spans="1:11" ht="26.25" customHeight="1">
      <c r="A78">
        <v>77</v>
      </c>
      <c r="B78" s="8">
        <v>44686</v>
      </c>
      <c r="C78" t="s">
        <v>11</v>
      </c>
      <c r="D78" t="s">
        <v>12</v>
      </c>
      <c r="E78" s="1">
        <v>5</v>
      </c>
      <c r="F78" t="s">
        <v>13</v>
      </c>
      <c r="G78" s="1">
        <v>50740</v>
      </c>
      <c r="H78" s="2">
        <f t="shared" si="1"/>
        <v>50.74</v>
      </c>
      <c r="I78" s="1" t="s">
        <v>20</v>
      </c>
      <c r="J78">
        <v>0</v>
      </c>
      <c r="K78" s="9">
        <v>0</v>
      </c>
    </row>
    <row r="79" spans="1:11" ht="32.25" customHeight="1">
      <c r="A79">
        <v>78</v>
      </c>
      <c r="B79" s="8">
        <v>44685</v>
      </c>
      <c r="C79" t="s">
        <v>11</v>
      </c>
      <c r="D79" t="s">
        <v>12</v>
      </c>
      <c r="E79" s="1">
        <v>2</v>
      </c>
      <c r="F79" t="s">
        <v>13</v>
      </c>
      <c r="G79" s="1">
        <v>50580</v>
      </c>
      <c r="H79" s="2">
        <f t="shared" si="1"/>
        <v>50.58</v>
      </c>
      <c r="I79" s="1" t="s">
        <v>14</v>
      </c>
      <c r="J79">
        <v>0</v>
      </c>
      <c r="K79" s="9">
        <v>0</v>
      </c>
    </row>
    <row r="80" spans="1:11" ht="26.25" customHeight="1">
      <c r="A80">
        <v>79</v>
      </c>
      <c r="B80" s="8">
        <v>44686</v>
      </c>
      <c r="C80" t="s">
        <v>11</v>
      </c>
      <c r="D80" t="s">
        <v>12</v>
      </c>
      <c r="E80" s="1">
        <v>6</v>
      </c>
      <c r="F80" t="s">
        <v>13</v>
      </c>
      <c r="G80" s="1">
        <v>151260</v>
      </c>
      <c r="H80" s="2">
        <f t="shared" si="1"/>
        <v>151.26</v>
      </c>
      <c r="I80" s="1" t="s">
        <v>20</v>
      </c>
      <c r="J80">
        <v>0</v>
      </c>
      <c r="K80" s="9">
        <v>0</v>
      </c>
    </row>
    <row r="81" spans="1:11" ht="31.5" customHeight="1">
      <c r="A81">
        <v>80</v>
      </c>
      <c r="B81" s="8">
        <v>44711</v>
      </c>
      <c r="C81" t="s">
        <v>11</v>
      </c>
      <c r="D81" t="s">
        <v>12</v>
      </c>
      <c r="E81" s="1">
        <v>6</v>
      </c>
      <c r="F81" t="s">
        <v>28</v>
      </c>
      <c r="G81" s="1">
        <v>138530</v>
      </c>
      <c r="H81" s="2">
        <f t="shared" si="1"/>
        <v>138.53</v>
      </c>
      <c r="I81" s="1" t="s">
        <v>29</v>
      </c>
      <c r="J81">
        <v>0</v>
      </c>
      <c r="K81" s="9">
        <v>0</v>
      </c>
    </row>
    <row r="82" spans="1:11" ht="33.75" customHeight="1">
      <c r="A82">
        <v>81</v>
      </c>
      <c r="B82" s="8">
        <v>44694</v>
      </c>
      <c r="C82" t="s">
        <v>11</v>
      </c>
      <c r="D82" t="s">
        <v>12</v>
      </c>
      <c r="E82" s="1">
        <v>10</v>
      </c>
      <c r="F82" t="s">
        <v>13</v>
      </c>
      <c r="G82" s="1">
        <v>253560</v>
      </c>
      <c r="H82" s="2">
        <f t="shared" si="1"/>
        <v>253.56</v>
      </c>
      <c r="I82" s="1" t="s">
        <v>14</v>
      </c>
      <c r="J82">
        <v>0</v>
      </c>
      <c r="K82" s="9">
        <v>0</v>
      </c>
    </row>
    <row r="83" spans="1:11" ht="24.75" customHeight="1">
      <c r="A83">
        <v>82</v>
      </c>
      <c r="B83" s="8">
        <v>44694</v>
      </c>
      <c r="C83" t="s">
        <v>11</v>
      </c>
      <c r="D83" t="s">
        <v>12</v>
      </c>
      <c r="E83" s="1">
        <v>4</v>
      </c>
      <c r="F83" t="s">
        <v>13</v>
      </c>
      <c r="G83" s="1">
        <v>100860</v>
      </c>
      <c r="H83" s="2">
        <f t="shared" si="1"/>
        <v>100.86</v>
      </c>
      <c r="I83" s="1" t="s">
        <v>14</v>
      </c>
      <c r="J83">
        <v>0</v>
      </c>
      <c r="K83" s="9">
        <v>0</v>
      </c>
    </row>
    <row r="84" spans="1:11" ht="24.75" customHeight="1">
      <c r="A84">
        <v>83</v>
      </c>
      <c r="B84" s="8">
        <v>44686</v>
      </c>
      <c r="C84" t="s">
        <v>11</v>
      </c>
      <c r="D84" t="s">
        <v>12</v>
      </c>
      <c r="E84" s="1">
        <v>15</v>
      </c>
      <c r="F84" t="s">
        <v>13</v>
      </c>
      <c r="G84" s="1">
        <v>379610</v>
      </c>
      <c r="H84" s="2">
        <f t="shared" si="1"/>
        <v>379.61</v>
      </c>
      <c r="I84" s="1" t="s">
        <v>14</v>
      </c>
      <c r="J84">
        <v>0</v>
      </c>
      <c r="K84" s="9">
        <v>0</v>
      </c>
    </row>
    <row r="85" spans="1:11" ht="22.5" customHeight="1">
      <c r="A85">
        <v>84</v>
      </c>
      <c r="B85" s="8">
        <v>44729</v>
      </c>
      <c r="C85" t="s">
        <v>11</v>
      </c>
      <c r="D85" t="s">
        <v>12</v>
      </c>
      <c r="E85" s="1">
        <v>2</v>
      </c>
      <c r="F85" t="s">
        <v>13</v>
      </c>
      <c r="G85" s="1">
        <v>50420</v>
      </c>
      <c r="H85" s="2">
        <f t="shared" si="1"/>
        <v>50.42</v>
      </c>
      <c r="I85" s="1" t="s">
        <v>41</v>
      </c>
      <c r="J85">
        <v>0</v>
      </c>
      <c r="K85" s="9">
        <v>0</v>
      </c>
    </row>
    <row r="86" spans="1:11" ht="27" customHeight="1">
      <c r="A86">
        <v>85</v>
      </c>
      <c r="B86" s="8">
        <v>44714</v>
      </c>
      <c r="C86" t="s">
        <v>11</v>
      </c>
      <c r="D86" t="s">
        <v>12</v>
      </c>
      <c r="E86" s="1">
        <v>10</v>
      </c>
      <c r="F86" t="s">
        <v>13</v>
      </c>
      <c r="G86" s="1">
        <v>252440</v>
      </c>
      <c r="H86" s="2">
        <f t="shared" si="1"/>
        <v>252.44</v>
      </c>
      <c r="I86" s="1" t="s">
        <v>20</v>
      </c>
      <c r="J86">
        <v>0</v>
      </c>
      <c r="K86" s="9">
        <v>0</v>
      </c>
    </row>
    <row r="87" spans="1:11" ht="22.5" customHeight="1">
      <c r="A87">
        <v>86</v>
      </c>
      <c r="B87" s="8">
        <v>44686</v>
      </c>
      <c r="C87" t="s">
        <v>11</v>
      </c>
      <c r="D87" t="s">
        <v>12</v>
      </c>
      <c r="E87" s="1">
        <v>2</v>
      </c>
      <c r="F87" t="s">
        <v>13</v>
      </c>
      <c r="G87" s="1">
        <v>50400</v>
      </c>
      <c r="H87" s="2">
        <f t="shared" si="1"/>
        <v>50.4</v>
      </c>
      <c r="I87" s="1" t="s">
        <v>34</v>
      </c>
      <c r="J87">
        <v>0</v>
      </c>
      <c r="K87" s="9">
        <v>0</v>
      </c>
    </row>
    <row r="88" spans="1:11" ht="19.5" customHeight="1">
      <c r="A88">
        <v>87</v>
      </c>
      <c r="B88" s="8">
        <v>44686</v>
      </c>
      <c r="C88" t="s">
        <v>11</v>
      </c>
      <c r="D88" t="s">
        <v>37</v>
      </c>
      <c r="E88" s="1">
        <v>0</v>
      </c>
      <c r="F88" t="s">
        <v>32</v>
      </c>
      <c r="G88" s="1">
        <v>0</v>
      </c>
      <c r="H88" s="2">
        <f t="shared" si="1"/>
        <v>0</v>
      </c>
      <c r="I88" s="1" t="s">
        <v>38</v>
      </c>
      <c r="J88">
        <v>0</v>
      </c>
      <c r="K88" s="9">
        <v>26250</v>
      </c>
    </row>
    <row r="89" spans="1:11" ht="19.5" customHeight="1">
      <c r="A89">
        <v>88</v>
      </c>
      <c r="B89" s="8">
        <v>44705</v>
      </c>
      <c r="C89" t="s">
        <v>11</v>
      </c>
      <c r="D89" t="s">
        <v>12</v>
      </c>
      <c r="E89" s="1">
        <v>5</v>
      </c>
      <c r="F89" t="s">
        <v>13</v>
      </c>
      <c r="G89" s="1">
        <v>126760</v>
      </c>
      <c r="H89" s="2">
        <f t="shared" si="1"/>
        <v>126.76</v>
      </c>
      <c r="I89" s="1" t="s">
        <v>14</v>
      </c>
      <c r="J89">
        <v>0</v>
      </c>
      <c r="K89" s="9">
        <v>0</v>
      </c>
    </row>
    <row r="90" spans="1:11" ht="24.75" customHeight="1">
      <c r="A90">
        <v>89</v>
      </c>
      <c r="B90" s="8">
        <v>44704</v>
      </c>
      <c r="C90" t="s">
        <v>11</v>
      </c>
      <c r="D90" t="s">
        <v>12</v>
      </c>
      <c r="E90" s="1">
        <v>9</v>
      </c>
      <c r="F90" t="s">
        <v>13</v>
      </c>
      <c r="G90" s="1">
        <v>227280</v>
      </c>
      <c r="H90" s="2">
        <f t="shared" si="1"/>
        <v>227.28</v>
      </c>
      <c r="I90" s="1" t="s">
        <v>14</v>
      </c>
      <c r="J90">
        <v>0</v>
      </c>
      <c r="K90" s="9">
        <v>0</v>
      </c>
    </row>
    <row r="91" spans="1:11" ht="32.25" customHeight="1">
      <c r="A91">
        <v>90</v>
      </c>
      <c r="B91" s="8">
        <v>44699</v>
      </c>
      <c r="C91" t="s">
        <v>11</v>
      </c>
      <c r="D91" t="s">
        <v>12</v>
      </c>
      <c r="E91" s="1">
        <v>5</v>
      </c>
      <c r="F91" t="s">
        <v>13</v>
      </c>
      <c r="G91" s="1">
        <v>126160</v>
      </c>
      <c r="H91" s="2">
        <f t="shared" si="1"/>
        <v>126.16</v>
      </c>
      <c r="I91" s="1" t="s">
        <v>14</v>
      </c>
      <c r="J91">
        <v>0</v>
      </c>
      <c r="K91" s="9">
        <v>0</v>
      </c>
    </row>
    <row r="92" spans="1:11" ht="24" customHeight="1">
      <c r="A92">
        <v>91</v>
      </c>
      <c r="B92" s="8">
        <v>44699</v>
      </c>
      <c r="C92" t="s">
        <v>11</v>
      </c>
      <c r="D92" t="s">
        <v>12</v>
      </c>
      <c r="E92" s="1">
        <v>5</v>
      </c>
      <c r="F92" t="s">
        <v>13</v>
      </c>
      <c r="G92" s="1">
        <v>126050</v>
      </c>
      <c r="H92" s="2">
        <f t="shared" si="1"/>
        <v>126.05</v>
      </c>
      <c r="I92" s="1" t="s">
        <v>14</v>
      </c>
      <c r="J92">
        <v>0</v>
      </c>
      <c r="K92" s="9">
        <v>0</v>
      </c>
    </row>
    <row r="93" spans="1:11" ht="21.75" customHeight="1">
      <c r="A93">
        <v>92</v>
      </c>
      <c r="B93" s="8">
        <v>44705</v>
      </c>
      <c r="C93" t="s">
        <v>11</v>
      </c>
      <c r="D93" t="s">
        <v>12</v>
      </c>
      <c r="E93" s="1">
        <v>5</v>
      </c>
      <c r="F93" t="s">
        <v>13</v>
      </c>
      <c r="G93" s="1">
        <v>126360</v>
      </c>
      <c r="H93" s="2">
        <f t="shared" si="1"/>
        <v>126.36</v>
      </c>
      <c r="I93" s="1" t="s">
        <v>14</v>
      </c>
      <c r="J93">
        <v>0</v>
      </c>
      <c r="K93" s="9">
        <v>0</v>
      </c>
    </row>
    <row r="94" spans="1:11" ht="13.5" customHeight="1">
      <c r="A94">
        <v>93</v>
      </c>
      <c r="B94" s="8">
        <v>44716</v>
      </c>
      <c r="C94" t="s">
        <v>11</v>
      </c>
      <c r="D94" t="s">
        <v>12</v>
      </c>
      <c r="E94" s="1">
        <v>1</v>
      </c>
      <c r="F94" t="s">
        <v>13</v>
      </c>
      <c r="G94" s="1">
        <v>25680</v>
      </c>
      <c r="H94" s="2">
        <f t="shared" si="1"/>
        <v>25.68</v>
      </c>
      <c r="I94" s="1" t="s">
        <v>21</v>
      </c>
      <c r="J94">
        <v>0</v>
      </c>
      <c r="K94" s="9">
        <v>0</v>
      </c>
    </row>
    <row r="95" spans="1:11" ht="19.5" customHeight="1">
      <c r="A95">
        <v>94</v>
      </c>
      <c r="B95" s="8">
        <v>44716</v>
      </c>
      <c r="C95" t="s">
        <v>11</v>
      </c>
      <c r="D95" t="s">
        <v>12</v>
      </c>
      <c r="E95" s="1">
        <v>1</v>
      </c>
      <c r="F95" t="s">
        <v>13</v>
      </c>
      <c r="G95" s="1">
        <v>25380</v>
      </c>
      <c r="H95" s="2">
        <f t="shared" si="1"/>
        <v>25.38</v>
      </c>
      <c r="I95" s="1" t="s">
        <v>22</v>
      </c>
      <c r="J95">
        <v>0</v>
      </c>
      <c r="K95" s="9">
        <v>0</v>
      </c>
    </row>
    <row r="96" spans="1:11" ht="37.5" customHeight="1">
      <c r="A96">
        <v>95</v>
      </c>
      <c r="B96" s="8">
        <v>44716</v>
      </c>
      <c r="C96" t="s">
        <v>11</v>
      </c>
      <c r="D96" t="s">
        <v>12</v>
      </c>
      <c r="E96" s="1">
        <v>1</v>
      </c>
      <c r="F96" t="s">
        <v>13</v>
      </c>
      <c r="G96" s="1">
        <v>25280</v>
      </c>
      <c r="H96" s="2">
        <f t="shared" si="1"/>
        <v>25.28</v>
      </c>
      <c r="I96" s="1" t="s">
        <v>14</v>
      </c>
      <c r="J96">
        <v>0</v>
      </c>
      <c r="K96" s="9">
        <v>0</v>
      </c>
    </row>
    <row r="97" spans="1:11" ht="20.25" customHeight="1">
      <c r="A97">
        <v>96</v>
      </c>
      <c r="B97" s="8">
        <v>44716</v>
      </c>
      <c r="C97" t="s">
        <v>11</v>
      </c>
      <c r="D97" t="s">
        <v>12</v>
      </c>
      <c r="E97" s="1">
        <v>1</v>
      </c>
      <c r="F97" t="s">
        <v>13</v>
      </c>
      <c r="G97" s="1">
        <v>26660</v>
      </c>
      <c r="H97" s="2">
        <f t="shared" si="1"/>
        <v>26.66</v>
      </c>
      <c r="I97" s="1" t="s">
        <v>39</v>
      </c>
      <c r="J97">
        <v>0</v>
      </c>
      <c r="K97" s="9">
        <v>0</v>
      </c>
    </row>
    <row r="98" spans="1:11" ht="24.75" customHeight="1">
      <c r="A98">
        <v>97</v>
      </c>
      <c r="B98" s="8">
        <v>44734</v>
      </c>
      <c r="C98" t="s">
        <v>11</v>
      </c>
      <c r="D98" t="s">
        <v>12</v>
      </c>
      <c r="E98" s="1">
        <v>6</v>
      </c>
      <c r="F98" t="s">
        <v>13</v>
      </c>
      <c r="G98" s="1">
        <v>157980</v>
      </c>
      <c r="H98" s="2">
        <f t="shared" si="1"/>
        <v>157.97999999999999</v>
      </c>
      <c r="I98" s="1" t="s">
        <v>20</v>
      </c>
      <c r="J98">
        <v>0</v>
      </c>
      <c r="K98" s="9">
        <v>0</v>
      </c>
    </row>
    <row r="99" spans="1:11" ht="22.5" customHeight="1">
      <c r="A99">
        <v>98</v>
      </c>
      <c r="B99" s="8">
        <v>44716</v>
      </c>
      <c r="C99" t="s">
        <v>11</v>
      </c>
      <c r="D99" t="s">
        <v>12</v>
      </c>
      <c r="E99" s="1">
        <v>6</v>
      </c>
      <c r="F99" t="s">
        <v>13</v>
      </c>
      <c r="G99" s="1">
        <v>151740</v>
      </c>
      <c r="H99" s="2">
        <f t="shared" si="1"/>
        <v>151.74</v>
      </c>
      <c r="I99" s="1" t="s">
        <v>16</v>
      </c>
      <c r="J99">
        <v>0</v>
      </c>
      <c r="K99" s="9">
        <v>0</v>
      </c>
    </row>
    <row r="100" spans="1:11" ht="23.25" customHeight="1">
      <c r="A100">
        <v>99</v>
      </c>
      <c r="B100" s="8">
        <v>44706</v>
      </c>
      <c r="C100" t="s">
        <v>11</v>
      </c>
      <c r="D100" t="s">
        <v>12</v>
      </c>
      <c r="E100" s="1">
        <v>3</v>
      </c>
      <c r="F100" t="s">
        <v>13</v>
      </c>
      <c r="G100" s="1">
        <v>75640</v>
      </c>
      <c r="H100" s="2">
        <f t="shared" si="1"/>
        <v>75.64</v>
      </c>
      <c r="I100" s="1" t="s">
        <v>14</v>
      </c>
      <c r="J100">
        <v>0</v>
      </c>
      <c r="K100" s="9">
        <v>0</v>
      </c>
    </row>
    <row r="101" spans="1:11" ht="36" customHeight="1">
      <c r="A101">
        <v>100</v>
      </c>
      <c r="B101" s="8">
        <v>44729</v>
      </c>
      <c r="C101" t="s">
        <v>11</v>
      </c>
      <c r="D101" t="s">
        <v>12</v>
      </c>
      <c r="E101" s="1">
        <v>1</v>
      </c>
      <c r="F101" t="s">
        <v>13</v>
      </c>
      <c r="G101" s="1">
        <v>24200</v>
      </c>
      <c r="H101" s="2">
        <f t="shared" si="1"/>
        <v>24.2</v>
      </c>
      <c r="I101" s="1" t="s">
        <v>24</v>
      </c>
      <c r="J101">
        <v>0</v>
      </c>
      <c r="K101" s="9">
        <v>0</v>
      </c>
    </row>
    <row r="102" spans="1:11" ht="24" customHeight="1">
      <c r="A102">
        <v>101</v>
      </c>
      <c r="B102" s="8">
        <v>44722</v>
      </c>
      <c r="C102" t="s">
        <v>11</v>
      </c>
      <c r="D102" t="s">
        <v>37</v>
      </c>
      <c r="E102" s="1">
        <v>0</v>
      </c>
      <c r="F102" t="s">
        <v>42</v>
      </c>
      <c r="G102" s="1">
        <v>0</v>
      </c>
      <c r="H102" s="2">
        <f t="shared" si="1"/>
        <v>0</v>
      </c>
      <c r="I102" s="1" t="s">
        <v>38</v>
      </c>
      <c r="J102">
        <v>0</v>
      </c>
      <c r="K102" s="9">
        <v>41250</v>
      </c>
    </row>
    <row r="103" spans="1:11" ht="27.75" customHeight="1">
      <c r="A103">
        <v>102</v>
      </c>
      <c r="B103" s="8">
        <v>44732</v>
      </c>
      <c r="C103" t="s">
        <v>11</v>
      </c>
      <c r="D103" t="s">
        <v>12</v>
      </c>
      <c r="E103" s="1">
        <v>10</v>
      </c>
      <c r="F103" t="s">
        <v>13</v>
      </c>
      <c r="G103" s="1">
        <v>252080</v>
      </c>
      <c r="H103" s="2">
        <f t="shared" si="1"/>
        <v>252.08</v>
      </c>
      <c r="I103" s="1" t="s">
        <v>14</v>
      </c>
      <c r="J103">
        <v>0</v>
      </c>
      <c r="K103" s="9">
        <v>0</v>
      </c>
    </row>
    <row r="104" spans="1:11" ht="27.75" customHeight="1">
      <c r="A104">
        <v>103</v>
      </c>
      <c r="B104" s="8">
        <v>44729</v>
      </c>
      <c r="C104" t="s">
        <v>11</v>
      </c>
      <c r="D104" t="s">
        <v>12</v>
      </c>
      <c r="E104" s="1">
        <v>4</v>
      </c>
      <c r="F104" t="s">
        <v>13</v>
      </c>
      <c r="G104" s="1">
        <v>100870</v>
      </c>
      <c r="H104" s="2">
        <f t="shared" si="1"/>
        <v>100.87</v>
      </c>
      <c r="I104" s="1" t="s">
        <v>16</v>
      </c>
      <c r="J104">
        <v>0</v>
      </c>
      <c r="K104" s="9">
        <v>0</v>
      </c>
    </row>
    <row r="105" spans="1:11" ht="21.75" customHeight="1">
      <c r="A105">
        <v>104</v>
      </c>
      <c r="B105" s="8">
        <v>44729</v>
      </c>
      <c r="C105" t="s">
        <v>11</v>
      </c>
      <c r="D105" t="s">
        <v>12</v>
      </c>
      <c r="E105" s="1">
        <v>10</v>
      </c>
      <c r="F105" t="s">
        <v>13</v>
      </c>
      <c r="G105" s="1">
        <v>252980</v>
      </c>
      <c r="H105" s="2">
        <f t="shared" si="1"/>
        <v>252.98</v>
      </c>
      <c r="I105" s="1" t="s">
        <v>14</v>
      </c>
      <c r="J105">
        <v>0</v>
      </c>
      <c r="K105" s="9">
        <v>0</v>
      </c>
    </row>
    <row r="106" spans="1:11" ht="22.5" customHeight="1">
      <c r="A106">
        <v>105</v>
      </c>
      <c r="B106" s="8">
        <v>44729</v>
      </c>
      <c r="C106" t="s">
        <v>11</v>
      </c>
      <c r="D106" t="s">
        <v>12</v>
      </c>
      <c r="E106" s="1">
        <v>5</v>
      </c>
      <c r="F106" t="s">
        <v>13</v>
      </c>
      <c r="G106" s="1">
        <v>126020</v>
      </c>
      <c r="H106" s="2">
        <f t="shared" si="1"/>
        <v>126.02</v>
      </c>
      <c r="I106" s="1" t="s">
        <v>43</v>
      </c>
      <c r="J106">
        <v>0</v>
      </c>
      <c r="K106" s="9">
        <v>0</v>
      </c>
    </row>
    <row r="107" spans="1:11" ht="22.5" customHeight="1">
      <c r="A107">
        <v>106</v>
      </c>
      <c r="B107" s="8">
        <v>44743</v>
      </c>
      <c r="C107" t="s">
        <v>11</v>
      </c>
      <c r="D107" t="s">
        <v>12</v>
      </c>
      <c r="E107" s="1">
        <v>5</v>
      </c>
      <c r="F107" t="s">
        <v>13</v>
      </c>
      <c r="G107" s="1">
        <v>126580</v>
      </c>
      <c r="H107" s="2">
        <f t="shared" si="1"/>
        <v>126.58</v>
      </c>
      <c r="I107" s="1" t="s">
        <v>14</v>
      </c>
      <c r="J107">
        <v>0</v>
      </c>
      <c r="K107" s="9">
        <v>0</v>
      </c>
    </row>
    <row r="108" spans="1:11" ht="30" customHeight="1">
      <c r="A108">
        <v>107</v>
      </c>
      <c r="B108" s="8">
        <v>44763</v>
      </c>
      <c r="C108" t="s">
        <v>11</v>
      </c>
      <c r="D108" t="s">
        <v>12</v>
      </c>
      <c r="E108" s="1">
        <v>1</v>
      </c>
      <c r="F108" t="s">
        <v>23</v>
      </c>
      <c r="G108" s="1">
        <v>21620</v>
      </c>
      <c r="H108" s="2">
        <f t="shared" si="1"/>
        <v>21.62</v>
      </c>
      <c r="I108" s="1" t="s">
        <v>39</v>
      </c>
      <c r="J108">
        <v>0</v>
      </c>
      <c r="K108" s="9">
        <v>0</v>
      </c>
    </row>
    <row r="109" spans="1:11" ht="20.25" customHeight="1">
      <c r="A109">
        <v>108</v>
      </c>
      <c r="B109" s="8">
        <v>44763</v>
      </c>
      <c r="C109" t="s">
        <v>11</v>
      </c>
      <c r="D109" t="s">
        <v>12</v>
      </c>
      <c r="E109" s="1">
        <v>2</v>
      </c>
      <c r="F109" t="s">
        <v>13</v>
      </c>
      <c r="G109" s="1">
        <v>55310</v>
      </c>
      <c r="H109" s="2">
        <f t="shared" si="1"/>
        <v>55.31</v>
      </c>
      <c r="I109" s="1" t="s">
        <v>17</v>
      </c>
      <c r="J109">
        <v>0</v>
      </c>
      <c r="K109" s="9">
        <v>0</v>
      </c>
    </row>
    <row r="110" spans="1:11" ht="30" customHeight="1">
      <c r="A110">
        <v>109</v>
      </c>
      <c r="B110" s="8">
        <v>44775</v>
      </c>
      <c r="C110" t="s">
        <v>11</v>
      </c>
      <c r="D110" t="s">
        <v>12</v>
      </c>
      <c r="E110" s="1">
        <v>4</v>
      </c>
      <c r="F110" t="s">
        <v>23</v>
      </c>
      <c r="G110" s="1">
        <v>100820</v>
      </c>
      <c r="H110" s="2">
        <f t="shared" si="1"/>
        <v>100.82</v>
      </c>
      <c r="I110" s="1" t="s">
        <v>24</v>
      </c>
      <c r="J110">
        <v>0</v>
      </c>
      <c r="K110" s="9">
        <v>0</v>
      </c>
    </row>
    <row r="111" spans="1:11" ht="24" customHeight="1">
      <c r="A111">
        <v>110</v>
      </c>
      <c r="B111" s="8">
        <v>44847</v>
      </c>
      <c r="C111" t="s">
        <v>11</v>
      </c>
      <c r="D111" t="s">
        <v>12</v>
      </c>
      <c r="E111" s="1">
        <v>2</v>
      </c>
      <c r="F111" t="s">
        <v>44</v>
      </c>
      <c r="G111" s="1">
        <v>54560</v>
      </c>
      <c r="H111" s="2">
        <f t="shared" si="1"/>
        <v>54.56</v>
      </c>
      <c r="I111" s="1" t="s">
        <v>45</v>
      </c>
      <c r="J111">
        <v>0</v>
      </c>
      <c r="K111" s="9">
        <v>0</v>
      </c>
    </row>
    <row r="112" spans="1:11" ht="26.25" customHeight="1">
      <c r="A112">
        <v>111</v>
      </c>
      <c r="B112" s="8">
        <v>44834</v>
      </c>
      <c r="C112" t="s">
        <v>11</v>
      </c>
      <c r="D112" t="s">
        <v>12</v>
      </c>
      <c r="E112" s="1">
        <v>1</v>
      </c>
      <c r="F112" t="s">
        <v>23</v>
      </c>
      <c r="G112" s="1">
        <v>21700</v>
      </c>
      <c r="H112" s="2">
        <f t="shared" si="1"/>
        <v>21.7</v>
      </c>
      <c r="I112" s="1" t="s">
        <v>39</v>
      </c>
      <c r="J112">
        <v>0</v>
      </c>
      <c r="K112" s="9">
        <v>0</v>
      </c>
    </row>
    <row r="113" spans="1:11" ht="31.5" customHeight="1">
      <c r="A113">
        <v>112</v>
      </c>
      <c r="B113" s="8">
        <v>44773</v>
      </c>
      <c r="C113" t="s">
        <v>11</v>
      </c>
      <c r="D113" t="s">
        <v>12</v>
      </c>
      <c r="E113" s="1">
        <v>10</v>
      </c>
      <c r="F113" t="s">
        <v>13</v>
      </c>
      <c r="G113" s="1">
        <v>252290</v>
      </c>
      <c r="H113" s="2">
        <f t="shared" si="1"/>
        <v>252.29</v>
      </c>
      <c r="I113" s="1" t="s">
        <v>16</v>
      </c>
      <c r="J113">
        <v>0</v>
      </c>
      <c r="K113" s="9">
        <v>0</v>
      </c>
    </row>
    <row r="114" spans="1:11" ht="19.5" customHeight="1">
      <c r="A114">
        <v>113</v>
      </c>
      <c r="B114" s="8">
        <v>44777</v>
      </c>
      <c r="C114" t="s">
        <v>11</v>
      </c>
      <c r="D114" t="s">
        <v>12</v>
      </c>
      <c r="E114" s="1">
        <v>10</v>
      </c>
      <c r="F114" t="s">
        <v>13</v>
      </c>
      <c r="G114" s="1">
        <v>252190</v>
      </c>
      <c r="H114" s="2">
        <f t="shared" si="1"/>
        <v>252.19</v>
      </c>
      <c r="I114" s="1" t="s">
        <v>16</v>
      </c>
      <c r="J114">
        <v>0</v>
      </c>
      <c r="K114" s="9">
        <v>0</v>
      </c>
    </row>
    <row r="115" spans="1:11" ht="24.75" customHeight="1">
      <c r="A115">
        <v>114</v>
      </c>
      <c r="B115" s="8">
        <v>44796</v>
      </c>
      <c r="C115" t="s">
        <v>11</v>
      </c>
      <c r="D115" t="s">
        <v>12</v>
      </c>
      <c r="E115" s="1">
        <v>5</v>
      </c>
      <c r="F115" t="s">
        <v>13</v>
      </c>
      <c r="G115" s="1">
        <v>126360</v>
      </c>
      <c r="H115" s="2">
        <f t="shared" si="1"/>
        <v>126.36</v>
      </c>
      <c r="I115" s="1" t="s">
        <v>41</v>
      </c>
      <c r="J115">
        <v>0</v>
      </c>
      <c r="K115" s="9">
        <v>0</v>
      </c>
    </row>
    <row r="116" spans="1:11" ht="20.25" customHeight="1">
      <c r="A116">
        <v>115</v>
      </c>
      <c r="B116" s="8">
        <v>44789</v>
      </c>
      <c r="C116" t="s">
        <v>11</v>
      </c>
      <c r="D116" t="s">
        <v>12</v>
      </c>
      <c r="E116" s="1">
        <v>4</v>
      </c>
      <c r="F116" t="s">
        <v>23</v>
      </c>
      <c r="G116" s="1">
        <v>100820</v>
      </c>
      <c r="H116" s="2">
        <f t="shared" si="1"/>
        <v>100.82</v>
      </c>
      <c r="I116" s="1" t="s">
        <v>24</v>
      </c>
      <c r="J116">
        <v>0</v>
      </c>
      <c r="K116" s="9">
        <v>0</v>
      </c>
    </row>
    <row r="117" spans="1:11" ht="21.75" customHeight="1">
      <c r="A117">
        <v>116</v>
      </c>
      <c r="B117" s="8">
        <v>44785</v>
      </c>
      <c r="C117" t="s">
        <v>11</v>
      </c>
      <c r="D117" t="s">
        <v>12</v>
      </c>
      <c r="E117" s="1">
        <v>5</v>
      </c>
      <c r="F117" t="s">
        <v>13</v>
      </c>
      <c r="G117" s="1">
        <v>126240</v>
      </c>
      <c r="H117" s="2">
        <f t="shared" si="1"/>
        <v>126.24</v>
      </c>
      <c r="I117" s="1" t="s">
        <v>46</v>
      </c>
      <c r="J117">
        <v>0</v>
      </c>
      <c r="K117" s="9">
        <v>0</v>
      </c>
    </row>
    <row r="118" spans="1:11" ht="17.25" customHeight="1">
      <c r="A118">
        <v>117</v>
      </c>
      <c r="B118" s="8">
        <v>44787</v>
      </c>
      <c r="C118" t="s">
        <v>11</v>
      </c>
      <c r="D118" t="s">
        <v>12</v>
      </c>
      <c r="E118" s="1">
        <v>5</v>
      </c>
      <c r="F118" t="s">
        <v>13</v>
      </c>
      <c r="G118" s="1">
        <v>126020</v>
      </c>
      <c r="H118" s="2">
        <f t="shared" si="1"/>
        <v>126.02</v>
      </c>
      <c r="I118" s="1" t="s">
        <v>43</v>
      </c>
      <c r="J118">
        <v>0</v>
      </c>
      <c r="K118" s="9">
        <v>0</v>
      </c>
    </row>
    <row r="119" spans="1:11" ht="20.25" customHeight="1">
      <c r="A119">
        <v>118</v>
      </c>
      <c r="B119" s="8">
        <v>44816</v>
      </c>
      <c r="C119" t="s">
        <v>11</v>
      </c>
      <c r="D119" t="s">
        <v>12</v>
      </c>
      <c r="E119" s="1">
        <v>1</v>
      </c>
      <c r="F119" t="s">
        <v>23</v>
      </c>
      <c r="G119" s="1">
        <v>21700</v>
      </c>
      <c r="H119" s="2">
        <f t="shared" si="1"/>
        <v>21.7</v>
      </c>
      <c r="I119" s="1" t="s">
        <v>39</v>
      </c>
      <c r="J119">
        <v>0</v>
      </c>
      <c r="K119" s="9">
        <v>0</v>
      </c>
    </row>
    <row r="120" spans="1:11" ht="24.75" customHeight="1">
      <c r="A120">
        <v>119</v>
      </c>
      <c r="B120" s="8">
        <v>44810</v>
      </c>
      <c r="C120" t="s">
        <v>11</v>
      </c>
      <c r="D120" t="s">
        <v>12</v>
      </c>
      <c r="E120" s="1">
        <v>6</v>
      </c>
      <c r="F120" t="s">
        <v>13</v>
      </c>
      <c r="G120" s="1">
        <v>151450</v>
      </c>
      <c r="H120" s="2">
        <f t="shared" si="1"/>
        <v>151.44999999999999</v>
      </c>
      <c r="I120" s="1" t="s">
        <v>17</v>
      </c>
      <c r="J120">
        <v>0</v>
      </c>
      <c r="K120" s="9">
        <v>0</v>
      </c>
    </row>
    <row r="121" spans="1:11" ht="23.25" customHeight="1">
      <c r="A121">
        <v>120</v>
      </c>
      <c r="B121" s="8">
        <v>44827</v>
      </c>
      <c r="C121" t="s">
        <v>11</v>
      </c>
      <c r="D121" t="s">
        <v>12</v>
      </c>
      <c r="E121" s="1">
        <v>1</v>
      </c>
      <c r="F121" t="s">
        <v>13</v>
      </c>
      <c r="G121" s="1">
        <v>25200</v>
      </c>
      <c r="H121" s="2">
        <f t="shared" si="1"/>
        <v>25.2</v>
      </c>
      <c r="I121" s="1" t="s">
        <v>41</v>
      </c>
      <c r="J121">
        <v>0</v>
      </c>
      <c r="K121" s="9">
        <v>0</v>
      </c>
    </row>
    <row r="122" spans="1:11" ht="21.75" customHeight="1">
      <c r="A122">
        <v>121</v>
      </c>
      <c r="B122" s="8">
        <v>44834</v>
      </c>
      <c r="C122" t="s">
        <v>11</v>
      </c>
      <c r="D122" t="s">
        <v>12</v>
      </c>
      <c r="E122" s="1">
        <v>5</v>
      </c>
      <c r="F122" t="s">
        <v>13</v>
      </c>
      <c r="G122" s="1">
        <v>126430</v>
      </c>
      <c r="H122" s="2">
        <f t="shared" si="1"/>
        <v>126.43</v>
      </c>
      <c r="I122" s="1" t="s">
        <v>16</v>
      </c>
      <c r="J122">
        <v>0</v>
      </c>
      <c r="K122" s="9">
        <v>0</v>
      </c>
    </row>
    <row r="123" spans="1:11" ht="18.75" customHeight="1">
      <c r="A123">
        <v>122</v>
      </c>
      <c r="B123" s="8">
        <v>44837</v>
      </c>
      <c r="C123" t="s">
        <v>11</v>
      </c>
      <c r="D123" t="s">
        <v>12</v>
      </c>
      <c r="E123" s="1">
        <v>8</v>
      </c>
      <c r="F123" t="s">
        <v>13</v>
      </c>
      <c r="G123" s="1">
        <v>202110</v>
      </c>
      <c r="H123" s="2">
        <f t="shared" si="1"/>
        <v>202.11</v>
      </c>
      <c r="I123" s="1" t="s">
        <v>16</v>
      </c>
      <c r="J123">
        <v>0</v>
      </c>
      <c r="K123" s="9">
        <v>0</v>
      </c>
    </row>
    <row r="124" spans="1:11" ht="18.75" customHeight="1">
      <c r="A124">
        <v>123</v>
      </c>
      <c r="B124" s="8">
        <v>44838</v>
      </c>
      <c r="C124" t="s">
        <v>11</v>
      </c>
      <c r="D124" t="s">
        <v>12</v>
      </c>
      <c r="E124" s="1">
        <v>5</v>
      </c>
      <c r="F124" t="s">
        <v>13</v>
      </c>
      <c r="G124" s="1">
        <v>126160</v>
      </c>
      <c r="H124" s="2">
        <f t="shared" si="1"/>
        <v>126.16</v>
      </c>
      <c r="I124" s="1" t="s">
        <v>16</v>
      </c>
      <c r="J124">
        <v>0</v>
      </c>
      <c r="K124" s="9">
        <v>0</v>
      </c>
    </row>
    <row r="125" spans="1:11" ht="15.75" customHeight="1">
      <c r="A125">
        <v>124</v>
      </c>
      <c r="B125" s="8">
        <v>44838</v>
      </c>
      <c r="C125" t="s">
        <v>11</v>
      </c>
      <c r="D125" t="s">
        <v>12</v>
      </c>
      <c r="E125" s="1">
        <v>5</v>
      </c>
      <c r="F125" t="s">
        <v>13</v>
      </c>
      <c r="G125" s="1">
        <v>126090</v>
      </c>
      <c r="H125" s="2">
        <f t="shared" si="1"/>
        <v>126.09</v>
      </c>
      <c r="I125" s="1" t="s">
        <v>16</v>
      </c>
      <c r="J125">
        <v>0</v>
      </c>
      <c r="K125" s="9">
        <v>0</v>
      </c>
    </row>
    <row r="126" spans="1:11" ht="20.25" customHeight="1">
      <c r="A126">
        <v>125</v>
      </c>
      <c r="B126" s="8">
        <v>44851</v>
      </c>
      <c r="C126" t="s">
        <v>11</v>
      </c>
      <c r="D126" t="s">
        <v>12</v>
      </c>
      <c r="E126" s="1">
        <v>5</v>
      </c>
      <c r="F126" t="s">
        <v>13</v>
      </c>
      <c r="G126" s="1">
        <v>119140</v>
      </c>
      <c r="H126" s="2">
        <f t="shared" si="1"/>
        <v>119.14</v>
      </c>
      <c r="I126" s="1" t="s">
        <v>16</v>
      </c>
      <c r="J126">
        <v>0</v>
      </c>
      <c r="K126" s="9">
        <v>0</v>
      </c>
    </row>
    <row r="127" spans="1:11" ht="14.25" customHeight="1">
      <c r="A127">
        <v>126</v>
      </c>
      <c r="B127" s="8">
        <v>44867</v>
      </c>
      <c r="C127" t="s">
        <v>11</v>
      </c>
      <c r="D127" t="s">
        <v>12</v>
      </c>
      <c r="E127" s="1">
        <v>5</v>
      </c>
      <c r="F127" t="s">
        <v>13</v>
      </c>
      <c r="G127" s="1">
        <v>126070</v>
      </c>
      <c r="H127" s="2">
        <f t="shared" si="1"/>
        <v>126.07</v>
      </c>
      <c r="I127" s="1" t="s">
        <v>16</v>
      </c>
      <c r="J127">
        <v>0</v>
      </c>
      <c r="K127" s="9">
        <v>0</v>
      </c>
    </row>
    <row r="128" spans="1:11" ht="21.75" customHeight="1">
      <c r="A128">
        <v>127</v>
      </c>
      <c r="B128" s="8">
        <v>44889</v>
      </c>
      <c r="C128" t="s">
        <v>11</v>
      </c>
      <c r="D128" t="s">
        <v>12</v>
      </c>
      <c r="E128" s="1">
        <v>3</v>
      </c>
      <c r="F128" t="s">
        <v>42</v>
      </c>
      <c r="G128" s="1">
        <v>76160</v>
      </c>
      <c r="H128" s="2">
        <f t="shared" si="1"/>
        <v>76.16</v>
      </c>
      <c r="I128" s="1" t="s">
        <v>47</v>
      </c>
      <c r="J128">
        <v>0</v>
      </c>
      <c r="K128" s="9">
        <v>0</v>
      </c>
    </row>
    <row r="129" spans="1:11" ht="18.75" customHeight="1">
      <c r="A129">
        <v>128</v>
      </c>
      <c r="B129" s="8">
        <v>44880</v>
      </c>
      <c r="C129" t="s">
        <v>11</v>
      </c>
      <c r="D129" t="s">
        <v>12</v>
      </c>
      <c r="E129" s="1">
        <v>4</v>
      </c>
      <c r="F129" t="s">
        <v>13</v>
      </c>
      <c r="G129" s="1">
        <v>100950</v>
      </c>
      <c r="H129" s="2">
        <f t="shared" si="1"/>
        <v>100.95</v>
      </c>
      <c r="I129" s="1" t="s">
        <v>16</v>
      </c>
      <c r="J129">
        <v>0</v>
      </c>
      <c r="K129" s="9">
        <v>0</v>
      </c>
    </row>
    <row r="130" spans="1:11" ht="15.75" customHeight="1">
      <c r="A130">
        <v>129</v>
      </c>
      <c r="B130" s="8">
        <v>44886</v>
      </c>
      <c r="C130" t="s">
        <v>11</v>
      </c>
      <c r="D130" t="s">
        <v>12</v>
      </c>
      <c r="E130" s="1">
        <v>5</v>
      </c>
      <c r="F130" t="s">
        <v>13</v>
      </c>
      <c r="G130" s="1">
        <v>126070</v>
      </c>
      <c r="H130" s="2">
        <f t="shared" ref="H130:H193" si="2">G130/1000</f>
        <v>126.07</v>
      </c>
      <c r="I130" s="1" t="s">
        <v>16</v>
      </c>
      <c r="J130">
        <v>0</v>
      </c>
      <c r="K130" s="9">
        <v>0</v>
      </c>
    </row>
    <row r="131" spans="1:11" ht="21.75" customHeight="1">
      <c r="A131">
        <v>130</v>
      </c>
      <c r="B131" s="8">
        <v>44904</v>
      </c>
      <c r="C131" t="s">
        <v>11</v>
      </c>
      <c r="D131" t="s">
        <v>12</v>
      </c>
      <c r="E131" s="1">
        <v>5</v>
      </c>
      <c r="F131" t="s">
        <v>13</v>
      </c>
      <c r="G131" s="1">
        <v>126100</v>
      </c>
      <c r="H131" s="2">
        <f t="shared" si="2"/>
        <v>126.1</v>
      </c>
      <c r="I131" s="1" t="s">
        <v>16</v>
      </c>
      <c r="J131">
        <v>0</v>
      </c>
      <c r="K131" s="9">
        <v>0</v>
      </c>
    </row>
    <row r="132" spans="1:11" ht="19.5" customHeight="1">
      <c r="A132">
        <v>131</v>
      </c>
      <c r="B132" s="8">
        <v>44904</v>
      </c>
      <c r="C132" t="s">
        <v>11</v>
      </c>
      <c r="D132" t="s">
        <v>12</v>
      </c>
      <c r="E132" s="1">
        <v>5</v>
      </c>
      <c r="F132" t="s">
        <v>13</v>
      </c>
      <c r="G132" s="1">
        <v>126000</v>
      </c>
      <c r="H132" s="2">
        <f t="shared" si="2"/>
        <v>126</v>
      </c>
      <c r="I132" s="1" t="s">
        <v>16</v>
      </c>
      <c r="J132">
        <v>0</v>
      </c>
      <c r="K132" s="9">
        <v>0</v>
      </c>
    </row>
    <row r="133" spans="1:11" ht="22.5" customHeight="1">
      <c r="A133">
        <v>132</v>
      </c>
      <c r="B133" s="8">
        <v>44974</v>
      </c>
      <c r="C133" t="s">
        <v>11</v>
      </c>
      <c r="D133" t="s">
        <v>12</v>
      </c>
      <c r="E133" s="1">
        <v>3</v>
      </c>
      <c r="F133" t="s">
        <v>13</v>
      </c>
      <c r="G133" s="1">
        <v>75600</v>
      </c>
      <c r="H133" s="2">
        <f t="shared" si="2"/>
        <v>75.599999999999994</v>
      </c>
      <c r="I133" s="1" t="s">
        <v>17</v>
      </c>
      <c r="J133">
        <v>0</v>
      </c>
      <c r="K133" s="9">
        <v>0</v>
      </c>
    </row>
    <row r="134" spans="1:11" ht="24.75" customHeight="1">
      <c r="A134">
        <v>133</v>
      </c>
      <c r="B134" s="8">
        <v>44994</v>
      </c>
      <c r="C134" t="s">
        <v>11</v>
      </c>
      <c r="D134" t="s">
        <v>12</v>
      </c>
      <c r="E134" s="1">
        <v>2</v>
      </c>
      <c r="F134" t="s">
        <v>13</v>
      </c>
      <c r="G134" s="1">
        <v>50400</v>
      </c>
      <c r="H134" s="2">
        <f t="shared" si="2"/>
        <v>50.4</v>
      </c>
      <c r="I134" s="1" t="s">
        <v>14</v>
      </c>
      <c r="J134">
        <v>0</v>
      </c>
      <c r="K134" s="9">
        <v>0</v>
      </c>
    </row>
    <row r="135" spans="1:11" ht="31.5" customHeight="1">
      <c r="A135">
        <v>134</v>
      </c>
      <c r="B135" s="8">
        <v>44994</v>
      </c>
      <c r="C135" t="s">
        <v>11</v>
      </c>
      <c r="D135" t="s">
        <v>37</v>
      </c>
      <c r="E135" s="1">
        <v>0</v>
      </c>
      <c r="F135" t="s">
        <v>13</v>
      </c>
      <c r="G135" s="1">
        <v>0</v>
      </c>
      <c r="H135" s="2">
        <f t="shared" si="2"/>
        <v>0</v>
      </c>
      <c r="I135" s="1" t="s">
        <v>38</v>
      </c>
      <c r="J135">
        <v>0</v>
      </c>
      <c r="K135" s="9">
        <v>75000</v>
      </c>
    </row>
    <row r="136" spans="1:11" ht="24" customHeight="1">
      <c r="A136">
        <v>135</v>
      </c>
      <c r="B136" s="8">
        <v>44994</v>
      </c>
      <c r="C136" t="s">
        <v>11</v>
      </c>
      <c r="D136" t="s">
        <v>37</v>
      </c>
      <c r="E136" s="1">
        <v>0</v>
      </c>
      <c r="F136" t="s">
        <v>13</v>
      </c>
      <c r="G136" s="1">
        <v>0</v>
      </c>
      <c r="H136" s="2">
        <f t="shared" si="2"/>
        <v>0</v>
      </c>
      <c r="I136" s="1" t="s">
        <v>38</v>
      </c>
      <c r="J136">
        <v>0</v>
      </c>
      <c r="K136" s="9">
        <v>90000</v>
      </c>
    </row>
    <row r="137" spans="1:11" ht="27.75" customHeight="1">
      <c r="A137">
        <v>136</v>
      </c>
      <c r="B137" s="8">
        <v>44996</v>
      </c>
      <c r="C137" t="s">
        <v>11</v>
      </c>
      <c r="D137" t="s">
        <v>48</v>
      </c>
      <c r="E137" s="1">
        <v>6</v>
      </c>
      <c r="F137" t="s">
        <v>23</v>
      </c>
      <c r="G137" s="1">
        <v>151200</v>
      </c>
      <c r="H137" s="2">
        <f t="shared" si="2"/>
        <v>151.19999999999999</v>
      </c>
      <c r="I137" s="1" t="s">
        <v>24</v>
      </c>
      <c r="J137">
        <v>0</v>
      </c>
      <c r="K137" s="9">
        <v>0</v>
      </c>
    </row>
    <row r="138" spans="1:11" ht="29.25" customHeight="1">
      <c r="A138">
        <v>137</v>
      </c>
      <c r="B138" s="8">
        <v>44996</v>
      </c>
      <c r="C138" t="s">
        <v>11</v>
      </c>
      <c r="D138" t="s">
        <v>48</v>
      </c>
      <c r="E138" s="1">
        <v>1</v>
      </c>
      <c r="F138" t="s">
        <v>13</v>
      </c>
      <c r="G138" s="1">
        <v>25200</v>
      </c>
      <c r="H138" s="2">
        <f t="shared" si="2"/>
        <v>25.2</v>
      </c>
      <c r="I138" s="1" t="s">
        <v>24</v>
      </c>
      <c r="J138">
        <v>0</v>
      </c>
      <c r="K138" s="9">
        <v>0</v>
      </c>
    </row>
    <row r="139" spans="1:11" ht="27" customHeight="1">
      <c r="A139">
        <v>138</v>
      </c>
      <c r="B139" s="8">
        <v>44995</v>
      </c>
      <c r="C139" t="s">
        <v>11</v>
      </c>
      <c r="D139" t="s">
        <v>37</v>
      </c>
      <c r="E139" s="1">
        <v>0</v>
      </c>
      <c r="F139" t="s">
        <v>23</v>
      </c>
      <c r="G139" s="1">
        <v>0</v>
      </c>
      <c r="H139" s="2">
        <f t="shared" si="2"/>
        <v>0</v>
      </c>
      <c r="I139" s="1" t="s">
        <v>38</v>
      </c>
      <c r="J139">
        <v>0</v>
      </c>
      <c r="K139" s="9">
        <v>77500</v>
      </c>
    </row>
    <row r="140" spans="1:11" ht="19.5" customHeight="1">
      <c r="A140">
        <v>139</v>
      </c>
      <c r="B140" s="8">
        <v>45001</v>
      </c>
      <c r="C140" t="s">
        <v>11</v>
      </c>
      <c r="D140" t="s">
        <v>12</v>
      </c>
      <c r="E140" s="1">
        <v>4</v>
      </c>
      <c r="F140" t="s">
        <v>13</v>
      </c>
      <c r="G140" s="1">
        <v>100800</v>
      </c>
      <c r="H140" s="2">
        <f t="shared" si="2"/>
        <v>100.8</v>
      </c>
      <c r="I140" s="1" t="s">
        <v>14</v>
      </c>
      <c r="J140">
        <v>0</v>
      </c>
      <c r="K140" s="9">
        <v>0</v>
      </c>
    </row>
    <row r="141" spans="1:11" ht="24.75" customHeight="1">
      <c r="A141">
        <v>140</v>
      </c>
      <c r="B141" s="8">
        <v>45002</v>
      </c>
      <c r="C141" t="s">
        <v>11</v>
      </c>
      <c r="D141" t="s">
        <v>48</v>
      </c>
      <c r="E141" s="1">
        <v>2</v>
      </c>
      <c r="F141" t="s">
        <v>44</v>
      </c>
      <c r="G141" s="1">
        <v>48788</v>
      </c>
      <c r="H141" s="2">
        <f t="shared" si="2"/>
        <v>48.787999999999997</v>
      </c>
      <c r="I141" s="1" t="s">
        <v>49</v>
      </c>
      <c r="J141">
        <v>0</v>
      </c>
      <c r="K141" s="9">
        <v>0</v>
      </c>
    </row>
    <row r="142" spans="1:11" ht="26.25" customHeight="1">
      <c r="A142">
        <v>141</v>
      </c>
      <c r="B142" s="8">
        <v>45015</v>
      </c>
      <c r="C142" t="s">
        <v>11</v>
      </c>
      <c r="D142" t="s">
        <v>12</v>
      </c>
      <c r="E142" s="1">
        <v>5</v>
      </c>
      <c r="F142" t="s">
        <v>13</v>
      </c>
      <c r="G142" s="1">
        <v>126000</v>
      </c>
      <c r="H142" s="2">
        <f t="shared" si="2"/>
        <v>126</v>
      </c>
      <c r="I142" s="1" t="s">
        <v>14</v>
      </c>
      <c r="J142">
        <v>0</v>
      </c>
      <c r="K142" s="9">
        <v>0</v>
      </c>
    </row>
    <row r="143" spans="1:11" ht="19.5" customHeight="1">
      <c r="A143">
        <v>142</v>
      </c>
      <c r="B143" s="8">
        <v>45015</v>
      </c>
      <c r="C143" t="s">
        <v>11</v>
      </c>
      <c r="D143" t="s">
        <v>12</v>
      </c>
      <c r="E143" s="1">
        <v>1</v>
      </c>
      <c r="F143" t="s">
        <v>23</v>
      </c>
      <c r="G143" s="1">
        <v>25200</v>
      </c>
      <c r="H143" s="2">
        <f t="shared" si="2"/>
        <v>25.2</v>
      </c>
      <c r="I143" s="1" t="s">
        <v>24</v>
      </c>
      <c r="J143">
        <v>0</v>
      </c>
      <c r="K143" s="9">
        <v>0</v>
      </c>
    </row>
    <row r="144" spans="1:11" ht="19.5" customHeight="1">
      <c r="A144">
        <v>143</v>
      </c>
      <c r="B144" s="8">
        <v>45014</v>
      </c>
      <c r="C144" t="s">
        <v>11</v>
      </c>
      <c r="D144" t="s">
        <v>12</v>
      </c>
      <c r="E144" s="1">
        <v>1</v>
      </c>
      <c r="F144" t="s">
        <v>50</v>
      </c>
      <c r="G144" s="1">
        <v>7854</v>
      </c>
      <c r="H144" s="2">
        <f t="shared" si="2"/>
        <v>7.8540000000000001</v>
      </c>
      <c r="I144" s="1" t="s">
        <v>24</v>
      </c>
      <c r="J144">
        <v>0</v>
      </c>
      <c r="K144" s="9">
        <v>0</v>
      </c>
    </row>
    <row r="145" spans="1:11" ht="21.75" customHeight="1">
      <c r="A145">
        <v>144</v>
      </c>
      <c r="B145" s="8">
        <v>45026</v>
      </c>
      <c r="C145" t="s">
        <v>11</v>
      </c>
      <c r="D145" t="s">
        <v>12</v>
      </c>
      <c r="E145" s="1">
        <v>10</v>
      </c>
      <c r="F145" t="s">
        <v>13</v>
      </c>
      <c r="G145" s="1">
        <v>252000</v>
      </c>
      <c r="H145" s="2">
        <f t="shared" si="2"/>
        <v>252</v>
      </c>
      <c r="I145" s="1" t="s">
        <v>14</v>
      </c>
      <c r="J145">
        <v>0</v>
      </c>
      <c r="K145" s="9">
        <v>0</v>
      </c>
    </row>
    <row r="146" spans="1:11" ht="20.25" customHeight="1">
      <c r="A146">
        <v>145</v>
      </c>
      <c r="B146" s="8">
        <v>45020</v>
      </c>
      <c r="C146" t="s">
        <v>11</v>
      </c>
      <c r="D146" t="s">
        <v>12</v>
      </c>
      <c r="E146" s="1">
        <v>2</v>
      </c>
      <c r="F146" t="s">
        <v>13</v>
      </c>
      <c r="G146" s="1">
        <v>50400</v>
      </c>
      <c r="H146" s="2">
        <f t="shared" si="2"/>
        <v>50.4</v>
      </c>
      <c r="I146" s="1" t="s">
        <v>18</v>
      </c>
      <c r="J146">
        <v>0</v>
      </c>
      <c r="K146" s="9">
        <v>0</v>
      </c>
    </row>
    <row r="147" spans="1:11" ht="20.25" customHeight="1">
      <c r="A147">
        <v>146</v>
      </c>
      <c r="B147" s="8">
        <v>45027</v>
      </c>
      <c r="C147" t="s">
        <v>11</v>
      </c>
      <c r="D147" t="s">
        <v>12</v>
      </c>
      <c r="E147" s="1">
        <v>2</v>
      </c>
      <c r="F147" t="s">
        <v>13</v>
      </c>
      <c r="G147" s="1">
        <v>50400</v>
      </c>
      <c r="H147" s="2">
        <f t="shared" si="2"/>
        <v>50.4</v>
      </c>
      <c r="I147" s="1" t="s">
        <v>20</v>
      </c>
      <c r="J147">
        <v>0</v>
      </c>
      <c r="K147" s="9">
        <v>0</v>
      </c>
    </row>
    <row r="148" spans="1:11" ht="19.5" customHeight="1">
      <c r="A148">
        <v>147</v>
      </c>
      <c r="B148" s="8">
        <v>45029</v>
      </c>
      <c r="C148" t="s">
        <v>11</v>
      </c>
      <c r="D148" t="s">
        <v>12</v>
      </c>
      <c r="E148" s="1">
        <v>5</v>
      </c>
      <c r="F148" t="s">
        <v>13</v>
      </c>
      <c r="G148" s="1">
        <v>126000</v>
      </c>
      <c r="H148" s="2">
        <f t="shared" si="2"/>
        <v>126</v>
      </c>
      <c r="I148" s="1" t="s">
        <v>14</v>
      </c>
      <c r="J148">
        <v>0</v>
      </c>
      <c r="K148" s="9">
        <v>0</v>
      </c>
    </row>
    <row r="149" spans="1:11" ht="26.25" customHeight="1">
      <c r="A149">
        <v>148</v>
      </c>
      <c r="B149" s="8">
        <v>45034</v>
      </c>
      <c r="C149" t="s">
        <v>11</v>
      </c>
      <c r="D149" t="s">
        <v>12</v>
      </c>
      <c r="E149" s="1">
        <v>3</v>
      </c>
      <c r="F149" t="s">
        <v>13</v>
      </c>
      <c r="G149" s="1">
        <v>75600</v>
      </c>
      <c r="H149" s="2">
        <f t="shared" si="2"/>
        <v>75.599999999999994</v>
      </c>
      <c r="I149" s="1" t="s">
        <v>14</v>
      </c>
      <c r="J149">
        <v>0</v>
      </c>
      <c r="K149" s="9">
        <v>0</v>
      </c>
    </row>
    <row r="150" spans="1:11" ht="20.25" customHeight="1">
      <c r="A150">
        <v>149</v>
      </c>
      <c r="B150" s="8">
        <v>45027</v>
      </c>
      <c r="C150" t="s">
        <v>11</v>
      </c>
      <c r="D150" t="s">
        <v>12</v>
      </c>
      <c r="E150" s="1">
        <v>2</v>
      </c>
      <c r="F150" t="s">
        <v>13</v>
      </c>
      <c r="G150" s="1">
        <v>50400</v>
      </c>
      <c r="H150" s="2">
        <f t="shared" si="2"/>
        <v>50.4</v>
      </c>
      <c r="I150" s="1" t="s">
        <v>17</v>
      </c>
      <c r="J150">
        <v>0</v>
      </c>
      <c r="K150" s="9">
        <v>0</v>
      </c>
    </row>
    <row r="151" spans="1:11" ht="22.5" customHeight="1">
      <c r="A151">
        <v>150</v>
      </c>
      <c r="B151" s="8">
        <v>45031</v>
      </c>
      <c r="C151" t="s">
        <v>11</v>
      </c>
      <c r="D151" t="s">
        <v>12</v>
      </c>
      <c r="E151" s="1">
        <v>10</v>
      </c>
      <c r="F151" t="s">
        <v>13</v>
      </c>
      <c r="G151" s="1">
        <v>252000</v>
      </c>
      <c r="H151" s="2">
        <f t="shared" si="2"/>
        <v>252</v>
      </c>
      <c r="I151" s="1" t="s">
        <v>14</v>
      </c>
      <c r="J151">
        <v>0</v>
      </c>
      <c r="K151" s="9">
        <v>0</v>
      </c>
    </row>
    <row r="152" spans="1:11" ht="22.5" customHeight="1">
      <c r="A152">
        <v>151</v>
      </c>
      <c r="B152" s="8">
        <v>45033</v>
      </c>
      <c r="C152" t="s">
        <v>11</v>
      </c>
      <c r="D152" t="s">
        <v>12</v>
      </c>
      <c r="E152" s="1">
        <v>0</v>
      </c>
      <c r="F152" t="s">
        <v>13</v>
      </c>
      <c r="G152" s="1">
        <v>252000</v>
      </c>
      <c r="H152" s="2">
        <f t="shared" si="2"/>
        <v>252</v>
      </c>
      <c r="I152" s="1" t="s">
        <v>14</v>
      </c>
      <c r="J152">
        <v>0</v>
      </c>
      <c r="K152" s="9">
        <v>0</v>
      </c>
    </row>
    <row r="153" spans="1:11" ht="32.25" customHeight="1">
      <c r="A153">
        <v>152</v>
      </c>
      <c r="B153" s="8">
        <v>45028</v>
      </c>
      <c r="C153" t="s">
        <v>11</v>
      </c>
      <c r="D153" t="s">
        <v>12</v>
      </c>
      <c r="E153" s="1">
        <v>2</v>
      </c>
      <c r="F153" t="s">
        <v>13</v>
      </c>
      <c r="G153" s="1">
        <v>50400</v>
      </c>
      <c r="H153" s="2">
        <f t="shared" si="2"/>
        <v>50.4</v>
      </c>
      <c r="I153" s="1" t="s">
        <v>17</v>
      </c>
      <c r="J153">
        <v>0</v>
      </c>
      <c r="K153" s="9">
        <v>0</v>
      </c>
    </row>
    <row r="154" spans="1:11" ht="22.5" customHeight="1">
      <c r="A154">
        <v>153</v>
      </c>
      <c r="B154" s="8">
        <v>45045</v>
      </c>
      <c r="C154" t="s">
        <v>11</v>
      </c>
      <c r="D154" t="s">
        <v>12</v>
      </c>
      <c r="E154" s="1">
        <v>5</v>
      </c>
      <c r="F154" t="s">
        <v>13</v>
      </c>
      <c r="G154" s="1">
        <v>126000</v>
      </c>
      <c r="H154" s="2">
        <f t="shared" si="2"/>
        <v>126</v>
      </c>
      <c r="I154" s="1" t="s">
        <v>17</v>
      </c>
      <c r="J154">
        <v>0</v>
      </c>
      <c r="K154" s="9">
        <v>0</v>
      </c>
    </row>
    <row r="155" spans="1:11" ht="19.5" customHeight="1">
      <c r="A155">
        <v>154</v>
      </c>
      <c r="B155" s="8">
        <v>45046</v>
      </c>
      <c r="C155" t="s">
        <v>11</v>
      </c>
      <c r="D155" t="s">
        <v>12</v>
      </c>
      <c r="E155" s="1">
        <v>10</v>
      </c>
      <c r="F155" t="s">
        <v>13</v>
      </c>
      <c r="G155" s="1">
        <v>252000</v>
      </c>
      <c r="H155" s="2">
        <f t="shared" si="2"/>
        <v>252</v>
      </c>
      <c r="I155" s="1" t="s">
        <v>14</v>
      </c>
      <c r="J155">
        <v>0</v>
      </c>
      <c r="K155" s="9">
        <v>0</v>
      </c>
    </row>
    <row r="156" spans="1:11" ht="23.25" customHeight="1">
      <c r="A156">
        <v>155</v>
      </c>
      <c r="B156" s="8">
        <v>45042</v>
      </c>
      <c r="C156" t="s">
        <v>11</v>
      </c>
      <c r="D156" t="s">
        <v>48</v>
      </c>
      <c r="E156" s="1">
        <v>10</v>
      </c>
      <c r="F156" t="s">
        <v>13</v>
      </c>
      <c r="G156" s="1">
        <v>252000</v>
      </c>
      <c r="H156" s="2">
        <f t="shared" si="2"/>
        <v>252</v>
      </c>
      <c r="I156" s="1" t="s">
        <v>14</v>
      </c>
      <c r="J156">
        <v>0</v>
      </c>
      <c r="K156" s="9">
        <v>0</v>
      </c>
    </row>
    <row r="157" spans="1:11" ht="27.75" customHeight="1">
      <c r="A157">
        <v>156</v>
      </c>
      <c r="B157" s="8">
        <v>45044</v>
      </c>
      <c r="C157" t="s">
        <v>11</v>
      </c>
      <c r="D157" t="s">
        <v>48</v>
      </c>
      <c r="E157" s="1">
        <v>1</v>
      </c>
      <c r="F157" t="s">
        <v>13</v>
      </c>
      <c r="G157" s="1">
        <v>25200</v>
      </c>
      <c r="H157" s="2">
        <f t="shared" si="2"/>
        <v>25.2</v>
      </c>
      <c r="I157" s="1" t="s">
        <v>17</v>
      </c>
      <c r="J157">
        <v>0</v>
      </c>
      <c r="K157" s="9">
        <v>0</v>
      </c>
    </row>
    <row r="158" spans="1:11" ht="14.25" customHeight="1">
      <c r="A158">
        <v>157</v>
      </c>
      <c r="B158" s="8">
        <v>45058</v>
      </c>
      <c r="C158" t="s">
        <v>11</v>
      </c>
      <c r="D158" t="s">
        <v>12</v>
      </c>
      <c r="E158" s="1">
        <v>3</v>
      </c>
      <c r="F158" t="s">
        <v>13</v>
      </c>
      <c r="G158" s="1">
        <v>75600</v>
      </c>
      <c r="H158" s="2">
        <f t="shared" si="2"/>
        <v>75.599999999999994</v>
      </c>
      <c r="I158" s="1" t="s">
        <v>17</v>
      </c>
      <c r="J158">
        <v>0</v>
      </c>
      <c r="K158" s="9">
        <v>0</v>
      </c>
    </row>
    <row r="159" spans="1:11" ht="18.75" customHeight="1">
      <c r="A159">
        <v>158</v>
      </c>
      <c r="B159" s="8">
        <v>45064</v>
      </c>
      <c r="C159" t="s">
        <v>11</v>
      </c>
      <c r="D159" t="s">
        <v>12</v>
      </c>
      <c r="E159" s="1">
        <v>2</v>
      </c>
      <c r="F159" t="s">
        <v>13</v>
      </c>
      <c r="G159" s="1">
        <v>50400</v>
      </c>
      <c r="H159" s="2">
        <f t="shared" si="2"/>
        <v>50.4</v>
      </c>
      <c r="I159" s="1" t="s">
        <v>51</v>
      </c>
      <c r="J159">
        <v>0</v>
      </c>
      <c r="K159" s="9">
        <v>0</v>
      </c>
    </row>
    <row r="160" spans="1:11" ht="29.25" customHeight="1">
      <c r="A160">
        <v>159</v>
      </c>
      <c r="B160" s="8">
        <v>45064</v>
      </c>
      <c r="C160" t="s">
        <v>11</v>
      </c>
      <c r="D160" t="s">
        <v>37</v>
      </c>
      <c r="E160" s="1">
        <v>0</v>
      </c>
      <c r="F160" t="s">
        <v>13</v>
      </c>
      <c r="G160" s="1">
        <v>0</v>
      </c>
      <c r="H160" s="2">
        <f t="shared" si="2"/>
        <v>0</v>
      </c>
      <c r="I160" s="1" t="s">
        <v>38</v>
      </c>
      <c r="J160">
        <v>0</v>
      </c>
      <c r="K160" s="9">
        <v>18750</v>
      </c>
    </row>
    <row r="161" spans="1:11" ht="28.5" customHeight="1">
      <c r="A161">
        <v>160</v>
      </c>
      <c r="B161" s="8">
        <v>45077</v>
      </c>
      <c r="C161" t="s">
        <v>11</v>
      </c>
      <c r="D161" t="s">
        <v>48</v>
      </c>
      <c r="E161" s="1">
        <v>10</v>
      </c>
      <c r="F161" t="s">
        <v>13</v>
      </c>
      <c r="G161" s="1">
        <v>252000</v>
      </c>
      <c r="H161" s="2">
        <f t="shared" si="2"/>
        <v>252</v>
      </c>
      <c r="I161" s="1" t="s">
        <v>14</v>
      </c>
      <c r="J161">
        <v>0</v>
      </c>
      <c r="K161" s="9">
        <v>0</v>
      </c>
    </row>
    <row r="162" spans="1:11" ht="19.5" customHeight="1">
      <c r="A162">
        <v>161</v>
      </c>
      <c r="B162" s="8">
        <v>45078</v>
      </c>
      <c r="C162" t="s">
        <v>11</v>
      </c>
      <c r="D162" t="s">
        <v>52</v>
      </c>
      <c r="E162" s="1">
        <v>0</v>
      </c>
      <c r="F162" t="s">
        <v>53</v>
      </c>
      <c r="G162" s="1">
        <v>0</v>
      </c>
      <c r="H162" s="2">
        <f t="shared" si="2"/>
        <v>0</v>
      </c>
      <c r="I162" s="1" t="s">
        <v>38</v>
      </c>
      <c r="J162">
        <v>0</v>
      </c>
      <c r="K162" s="9">
        <v>292500</v>
      </c>
    </row>
    <row r="163" spans="1:11" ht="24.75" customHeight="1">
      <c r="A163">
        <v>162</v>
      </c>
      <c r="B163" s="8">
        <v>45079</v>
      </c>
      <c r="C163" t="s">
        <v>11</v>
      </c>
      <c r="D163" t="s">
        <v>52</v>
      </c>
      <c r="E163" s="1">
        <v>0</v>
      </c>
      <c r="F163" t="s">
        <v>53</v>
      </c>
      <c r="G163" s="1">
        <v>0</v>
      </c>
      <c r="H163" s="2">
        <f t="shared" si="2"/>
        <v>0</v>
      </c>
      <c r="I163" s="1" t="s">
        <v>38</v>
      </c>
      <c r="J163">
        <v>0</v>
      </c>
      <c r="K163" s="9">
        <v>292500</v>
      </c>
    </row>
    <row r="164" spans="1:11" ht="15.75" customHeight="1">
      <c r="A164">
        <v>163</v>
      </c>
      <c r="B164" s="8">
        <v>45084</v>
      </c>
      <c r="C164" t="s">
        <v>11</v>
      </c>
      <c r="D164" t="s">
        <v>12</v>
      </c>
      <c r="E164" s="1">
        <v>2</v>
      </c>
      <c r="F164" t="s">
        <v>13</v>
      </c>
      <c r="G164" s="1">
        <v>50400</v>
      </c>
      <c r="H164" s="2">
        <f t="shared" si="2"/>
        <v>50.4</v>
      </c>
      <c r="I164" s="1" t="s">
        <v>17</v>
      </c>
      <c r="J164">
        <v>0</v>
      </c>
      <c r="K164" s="9">
        <v>0</v>
      </c>
    </row>
    <row r="165" spans="1:11" ht="24" customHeight="1">
      <c r="A165">
        <v>164</v>
      </c>
      <c r="B165" s="8">
        <v>45084</v>
      </c>
      <c r="C165" t="s">
        <v>11</v>
      </c>
      <c r="D165" t="s">
        <v>12</v>
      </c>
      <c r="E165" s="1">
        <v>2</v>
      </c>
      <c r="F165" t="s">
        <v>13</v>
      </c>
      <c r="G165" s="1">
        <v>50400</v>
      </c>
      <c r="H165" s="2">
        <f t="shared" si="2"/>
        <v>50.4</v>
      </c>
      <c r="I165" s="1" t="s">
        <v>17</v>
      </c>
      <c r="J165">
        <v>0</v>
      </c>
      <c r="K165" s="9">
        <v>0</v>
      </c>
    </row>
    <row r="166" spans="1:11" ht="17.25" customHeight="1">
      <c r="A166">
        <v>165</v>
      </c>
      <c r="B166" s="8">
        <v>45085</v>
      </c>
      <c r="C166" t="s">
        <v>11</v>
      </c>
      <c r="D166" t="s">
        <v>12</v>
      </c>
      <c r="E166" s="1">
        <v>6</v>
      </c>
      <c r="F166" t="s">
        <v>13</v>
      </c>
      <c r="G166" s="1">
        <v>151200</v>
      </c>
      <c r="H166" s="2">
        <f t="shared" si="2"/>
        <v>151.19999999999999</v>
      </c>
      <c r="I166" s="1" t="s">
        <v>17</v>
      </c>
      <c r="J166">
        <v>0</v>
      </c>
      <c r="K166" s="9">
        <v>0</v>
      </c>
    </row>
    <row r="167" spans="1:11" ht="22.5" customHeight="1">
      <c r="A167">
        <v>166</v>
      </c>
      <c r="B167" s="8">
        <v>45086</v>
      </c>
      <c r="C167" t="s">
        <v>11</v>
      </c>
      <c r="D167" t="s">
        <v>48</v>
      </c>
      <c r="E167" s="1">
        <v>1</v>
      </c>
      <c r="F167" t="s">
        <v>23</v>
      </c>
      <c r="G167" s="1">
        <v>25960</v>
      </c>
      <c r="H167" s="2">
        <f t="shared" si="2"/>
        <v>25.96</v>
      </c>
      <c r="I167" s="1" t="s">
        <v>31</v>
      </c>
      <c r="J167">
        <v>0</v>
      </c>
      <c r="K167" s="9">
        <v>0</v>
      </c>
    </row>
    <row r="168" spans="1:11" ht="28.5" customHeight="1">
      <c r="A168">
        <v>167</v>
      </c>
      <c r="B168" s="8">
        <v>45091</v>
      </c>
      <c r="C168" t="s">
        <v>11</v>
      </c>
      <c r="D168" t="s">
        <v>12</v>
      </c>
      <c r="E168" s="1">
        <v>1</v>
      </c>
      <c r="F168" t="s">
        <v>54</v>
      </c>
      <c r="G168" s="1">
        <v>8938</v>
      </c>
      <c r="H168" s="2">
        <f t="shared" si="2"/>
        <v>8.9380000000000006</v>
      </c>
      <c r="I168" s="1" t="s">
        <v>24</v>
      </c>
      <c r="J168">
        <v>0</v>
      </c>
      <c r="K168" s="9">
        <v>0</v>
      </c>
    </row>
    <row r="169" spans="1:11" ht="21.75" customHeight="1">
      <c r="A169">
        <v>168</v>
      </c>
      <c r="B169" s="8">
        <v>45092</v>
      </c>
      <c r="C169" t="s">
        <v>11</v>
      </c>
      <c r="D169" t="s">
        <v>48</v>
      </c>
      <c r="E169" s="1">
        <v>4</v>
      </c>
      <c r="F169" t="s">
        <v>13</v>
      </c>
      <c r="G169" s="1">
        <v>100800</v>
      </c>
      <c r="H169" s="2">
        <f t="shared" si="2"/>
        <v>100.8</v>
      </c>
      <c r="I169" s="1" t="s">
        <v>14</v>
      </c>
      <c r="J169">
        <v>0</v>
      </c>
      <c r="K169" s="9">
        <v>0</v>
      </c>
    </row>
    <row r="170" spans="1:11" ht="28.5" customHeight="1">
      <c r="A170">
        <v>169</v>
      </c>
      <c r="B170" s="8">
        <v>45099</v>
      </c>
      <c r="C170" t="s">
        <v>11</v>
      </c>
      <c r="D170" t="s">
        <v>12</v>
      </c>
      <c r="E170" s="1">
        <v>3</v>
      </c>
      <c r="F170" t="s">
        <v>13</v>
      </c>
      <c r="G170" s="1">
        <v>75600</v>
      </c>
      <c r="H170" s="2">
        <f t="shared" si="2"/>
        <v>75.599999999999994</v>
      </c>
      <c r="I170" s="1" t="s">
        <v>17</v>
      </c>
      <c r="J170">
        <v>0</v>
      </c>
      <c r="K170" s="9">
        <v>0</v>
      </c>
    </row>
    <row r="171" spans="1:11" ht="23.25" customHeight="1">
      <c r="A171">
        <v>170</v>
      </c>
      <c r="B171" s="8">
        <v>45107</v>
      </c>
      <c r="C171" t="s">
        <v>11</v>
      </c>
      <c r="D171" t="s">
        <v>48</v>
      </c>
      <c r="E171" s="1">
        <v>7</v>
      </c>
      <c r="F171" t="s">
        <v>55</v>
      </c>
      <c r="G171" s="1">
        <v>62900</v>
      </c>
      <c r="H171" s="2">
        <f t="shared" si="2"/>
        <v>62.9</v>
      </c>
      <c r="I171" s="1" t="s">
        <v>24</v>
      </c>
      <c r="J171">
        <v>0</v>
      </c>
      <c r="K171" s="9">
        <v>0</v>
      </c>
    </row>
    <row r="172" spans="1:11" ht="23.25" customHeight="1">
      <c r="A172">
        <v>171</v>
      </c>
      <c r="B172" s="8">
        <v>45111</v>
      </c>
      <c r="C172" t="s">
        <v>11</v>
      </c>
      <c r="D172" t="s">
        <v>48</v>
      </c>
      <c r="E172" s="1">
        <v>10</v>
      </c>
      <c r="F172" t="s">
        <v>55</v>
      </c>
      <c r="G172" s="1">
        <v>102290</v>
      </c>
      <c r="H172" s="2">
        <f t="shared" si="2"/>
        <v>102.29</v>
      </c>
      <c r="I172" s="1" t="s">
        <v>24</v>
      </c>
      <c r="J172">
        <v>0</v>
      </c>
      <c r="K172" s="9">
        <v>0</v>
      </c>
    </row>
    <row r="173" spans="1:11" ht="20.25" customHeight="1">
      <c r="A173">
        <v>172</v>
      </c>
      <c r="B173" s="8">
        <v>45111</v>
      </c>
      <c r="C173" t="s">
        <v>11</v>
      </c>
      <c r="D173" t="s">
        <v>48</v>
      </c>
      <c r="E173" s="1">
        <v>15</v>
      </c>
      <c r="F173" t="s">
        <v>55</v>
      </c>
      <c r="G173" s="1">
        <v>189720</v>
      </c>
      <c r="H173" s="2">
        <f t="shared" si="2"/>
        <v>189.72</v>
      </c>
      <c r="I173" s="1" t="s">
        <v>24</v>
      </c>
      <c r="J173">
        <v>0</v>
      </c>
      <c r="K173" s="9">
        <v>0</v>
      </c>
    </row>
    <row r="174" spans="1:11" ht="28.5" customHeight="1">
      <c r="A174">
        <v>173</v>
      </c>
      <c r="B174" s="8">
        <v>45111</v>
      </c>
      <c r="C174" t="s">
        <v>11</v>
      </c>
      <c r="D174" t="s">
        <v>48</v>
      </c>
      <c r="E174" s="1">
        <v>5</v>
      </c>
      <c r="F174" t="s">
        <v>55</v>
      </c>
      <c r="G174" s="1">
        <v>36870</v>
      </c>
      <c r="H174" s="2">
        <f t="shared" si="2"/>
        <v>36.869999999999997</v>
      </c>
      <c r="I174" s="1" t="s">
        <v>24</v>
      </c>
      <c r="J174">
        <v>0</v>
      </c>
      <c r="K174" s="9">
        <v>0</v>
      </c>
    </row>
    <row r="175" spans="1:11" ht="24.75" customHeight="1">
      <c r="A175">
        <v>174</v>
      </c>
      <c r="B175" s="8">
        <v>45118</v>
      </c>
      <c r="C175" t="s">
        <v>11</v>
      </c>
      <c r="D175" t="s">
        <v>12</v>
      </c>
      <c r="E175" s="1">
        <v>2</v>
      </c>
      <c r="F175" t="s">
        <v>13</v>
      </c>
      <c r="G175" s="1">
        <v>40000</v>
      </c>
      <c r="H175" s="2">
        <f t="shared" si="2"/>
        <v>40</v>
      </c>
      <c r="I175" s="1" t="s">
        <v>51</v>
      </c>
      <c r="J175">
        <v>0</v>
      </c>
      <c r="K175" s="9">
        <v>0</v>
      </c>
    </row>
    <row r="176" spans="1:11" ht="21.75" customHeight="1">
      <c r="A176">
        <v>175</v>
      </c>
      <c r="B176" s="8">
        <v>45118</v>
      </c>
      <c r="C176" t="s">
        <v>11</v>
      </c>
      <c r="D176" t="s">
        <v>12</v>
      </c>
      <c r="E176" s="1">
        <v>1</v>
      </c>
      <c r="F176" t="s">
        <v>13</v>
      </c>
      <c r="G176" s="1">
        <v>25200</v>
      </c>
      <c r="H176" s="2">
        <f t="shared" si="2"/>
        <v>25.2</v>
      </c>
      <c r="I176" s="1" t="s">
        <v>22</v>
      </c>
      <c r="J176">
        <v>0</v>
      </c>
      <c r="K176" s="9">
        <v>0</v>
      </c>
    </row>
    <row r="177" spans="1:11" ht="30" customHeight="1">
      <c r="A177">
        <v>176</v>
      </c>
      <c r="B177" s="8">
        <v>45133</v>
      </c>
      <c r="C177" t="s">
        <v>11</v>
      </c>
      <c r="D177" t="s">
        <v>12</v>
      </c>
      <c r="E177" s="1">
        <v>2</v>
      </c>
      <c r="F177" t="s">
        <v>35</v>
      </c>
      <c r="G177" s="1">
        <v>53900</v>
      </c>
      <c r="H177" s="2">
        <f t="shared" si="2"/>
        <v>53.9</v>
      </c>
      <c r="I177" s="1" t="s">
        <v>26</v>
      </c>
      <c r="J177">
        <v>0</v>
      </c>
      <c r="K177" s="9">
        <v>0</v>
      </c>
    </row>
    <row r="178" spans="1:11" ht="21.75" customHeight="1">
      <c r="A178">
        <v>177</v>
      </c>
      <c r="B178" s="8">
        <v>45133</v>
      </c>
      <c r="C178" t="s">
        <v>11</v>
      </c>
      <c r="D178" t="s">
        <v>12</v>
      </c>
      <c r="E178" s="1">
        <v>1</v>
      </c>
      <c r="F178" t="s">
        <v>35</v>
      </c>
      <c r="G178" s="1">
        <v>28010</v>
      </c>
      <c r="H178" s="2">
        <f t="shared" si="2"/>
        <v>28.01</v>
      </c>
      <c r="I178" s="1" t="s">
        <v>56</v>
      </c>
      <c r="J178">
        <v>0</v>
      </c>
      <c r="K178" s="9">
        <v>0</v>
      </c>
    </row>
    <row r="179" spans="1:11" ht="30" customHeight="1">
      <c r="A179">
        <v>178</v>
      </c>
      <c r="B179" s="8">
        <v>45133</v>
      </c>
      <c r="C179" t="s">
        <v>11</v>
      </c>
      <c r="D179" t="s">
        <v>12</v>
      </c>
      <c r="E179" s="1">
        <v>4</v>
      </c>
      <c r="F179" t="s">
        <v>35</v>
      </c>
      <c r="G179" s="1">
        <v>118248</v>
      </c>
      <c r="H179" s="2">
        <f t="shared" si="2"/>
        <v>118.248</v>
      </c>
      <c r="I179" s="1" t="s">
        <v>34</v>
      </c>
      <c r="J179">
        <v>0</v>
      </c>
      <c r="K179" s="9">
        <v>0</v>
      </c>
    </row>
    <row r="180" spans="1:11" ht="18" customHeight="1">
      <c r="A180">
        <v>179</v>
      </c>
      <c r="B180" s="8">
        <v>45128</v>
      </c>
      <c r="C180" t="s">
        <v>11</v>
      </c>
      <c r="D180" t="s">
        <v>12</v>
      </c>
      <c r="E180" s="1">
        <v>1</v>
      </c>
      <c r="F180" t="s">
        <v>50</v>
      </c>
      <c r="G180" s="1">
        <v>5036</v>
      </c>
      <c r="H180" s="2">
        <f t="shared" si="2"/>
        <v>5.0359999999999996</v>
      </c>
      <c r="I180" s="1" t="s">
        <v>24</v>
      </c>
      <c r="J180">
        <v>0</v>
      </c>
      <c r="K180" s="9">
        <v>0</v>
      </c>
    </row>
    <row r="181" spans="1:11" ht="21.75" customHeight="1">
      <c r="A181">
        <v>180</v>
      </c>
      <c r="B181" s="8">
        <v>45126</v>
      </c>
      <c r="C181" t="s">
        <v>11</v>
      </c>
      <c r="D181" t="s">
        <v>48</v>
      </c>
      <c r="E181" s="1">
        <v>1</v>
      </c>
      <c r="F181" t="s">
        <v>57</v>
      </c>
      <c r="G181" s="1">
        <v>28150</v>
      </c>
      <c r="H181" s="2">
        <f t="shared" si="2"/>
        <v>28.15</v>
      </c>
      <c r="I181" s="1" t="s">
        <v>40</v>
      </c>
      <c r="J181">
        <v>0</v>
      </c>
      <c r="K181" s="9">
        <v>0</v>
      </c>
    </row>
    <row r="182" spans="1:11" ht="22.5" customHeight="1">
      <c r="A182">
        <v>181</v>
      </c>
      <c r="B182" s="8">
        <v>45126</v>
      </c>
      <c r="C182" t="s">
        <v>11</v>
      </c>
      <c r="D182" t="s">
        <v>48</v>
      </c>
      <c r="E182" s="1">
        <v>1</v>
      </c>
      <c r="F182" t="s">
        <v>57</v>
      </c>
      <c r="G182" s="1">
        <v>28150</v>
      </c>
      <c r="H182" s="2">
        <f t="shared" si="2"/>
        <v>28.15</v>
      </c>
      <c r="I182" s="1" t="s">
        <v>40</v>
      </c>
      <c r="J182">
        <v>0</v>
      </c>
      <c r="K182" s="9">
        <v>0</v>
      </c>
    </row>
    <row r="183" spans="1:11" ht="36" customHeight="1">
      <c r="A183">
        <v>182</v>
      </c>
      <c r="B183" s="8">
        <v>45139</v>
      </c>
      <c r="C183" t="s">
        <v>11</v>
      </c>
      <c r="D183" t="s">
        <v>48</v>
      </c>
      <c r="E183" s="1">
        <v>7</v>
      </c>
      <c r="F183" t="s">
        <v>55</v>
      </c>
      <c r="G183" s="1">
        <v>60400</v>
      </c>
      <c r="H183" s="2">
        <f t="shared" si="2"/>
        <v>60.4</v>
      </c>
      <c r="I183" s="1" t="s">
        <v>24</v>
      </c>
      <c r="J183">
        <v>0</v>
      </c>
      <c r="K183" s="9">
        <v>0</v>
      </c>
    </row>
    <row r="184" spans="1:11" ht="27" customHeight="1">
      <c r="A184">
        <v>183</v>
      </c>
      <c r="B184" s="8">
        <v>45139</v>
      </c>
      <c r="C184" t="s">
        <v>11</v>
      </c>
      <c r="D184" t="s">
        <v>48</v>
      </c>
      <c r="E184" s="1">
        <v>10</v>
      </c>
      <c r="F184" t="s">
        <v>55</v>
      </c>
      <c r="G184" s="1">
        <v>127173.11</v>
      </c>
      <c r="H184" s="2">
        <f t="shared" si="2"/>
        <v>127.17310999999999</v>
      </c>
      <c r="I184" s="1" t="s">
        <v>24</v>
      </c>
      <c r="J184">
        <v>0</v>
      </c>
      <c r="K184" s="9">
        <v>0</v>
      </c>
    </row>
    <row r="185" spans="1:11" ht="26.25" customHeight="1">
      <c r="A185">
        <v>184</v>
      </c>
      <c r="B185" s="8">
        <v>45146</v>
      </c>
      <c r="C185" t="s">
        <v>11</v>
      </c>
      <c r="D185" t="s">
        <v>48</v>
      </c>
      <c r="E185" s="1">
        <v>3</v>
      </c>
      <c r="F185" t="s">
        <v>35</v>
      </c>
      <c r="G185" s="1">
        <v>80908</v>
      </c>
      <c r="H185" s="2">
        <f t="shared" si="2"/>
        <v>80.908000000000001</v>
      </c>
      <c r="I185" s="1" t="s">
        <v>34</v>
      </c>
      <c r="J185">
        <v>0</v>
      </c>
      <c r="K185" s="9">
        <v>0</v>
      </c>
    </row>
    <row r="186" spans="1:11" ht="20.25" customHeight="1">
      <c r="A186">
        <v>185</v>
      </c>
      <c r="B186" s="8">
        <v>45146</v>
      </c>
      <c r="C186" t="s">
        <v>11</v>
      </c>
      <c r="D186" t="s">
        <v>48</v>
      </c>
      <c r="E186" s="1">
        <v>5</v>
      </c>
      <c r="F186" t="s">
        <v>13</v>
      </c>
      <c r="G186" s="1">
        <v>126000</v>
      </c>
      <c r="H186" s="2">
        <f t="shared" si="2"/>
        <v>126</v>
      </c>
      <c r="I186" s="1" t="s">
        <v>14</v>
      </c>
      <c r="J186">
        <v>0</v>
      </c>
      <c r="K186" s="9">
        <v>0</v>
      </c>
    </row>
    <row r="187" spans="1:11" ht="23.25" customHeight="1">
      <c r="A187">
        <v>186</v>
      </c>
      <c r="B187" s="8">
        <v>45148</v>
      </c>
      <c r="C187" t="s">
        <v>11</v>
      </c>
      <c r="D187" t="s">
        <v>48</v>
      </c>
      <c r="E187" s="1">
        <v>10</v>
      </c>
      <c r="F187" t="s">
        <v>55</v>
      </c>
      <c r="G187" s="1">
        <v>101730</v>
      </c>
      <c r="H187" s="2">
        <f t="shared" si="2"/>
        <v>101.73</v>
      </c>
      <c r="I187" s="1" t="s">
        <v>24</v>
      </c>
      <c r="J187">
        <v>0</v>
      </c>
      <c r="K187" s="9">
        <v>0</v>
      </c>
    </row>
    <row r="188" spans="1:11" ht="24.75" customHeight="1">
      <c r="A188">
        <v>187</v>
      </c>
      <c r="B188" s="8">
        <v>45148</v>
      </c>
      <c r="C188" t="s">
        <v>11</v>
      </c>
      <c r="D188" t="s">
        <v>48</v>
      </c>
      <c r="E188" s="1">
        <v>8</v>
      </c>
      <c r="F188" t="s">
        <v>55</v>
      </c>
      <c r="G188" s="1">
        <v>74919.81</v>
      </c>
      <c r="H188" s="2">
        <f t="shared" si="2"/>
        <v>74.919809999999998</v>
      </c>
      <c r="I188" s="1" t="s">
        <v>24</v>
      </c>
      <c r="J188">
        <v>0</v>
      </c>
      <c r="K188" s="9">
        <v>0</v>
      </c>
    </row>
    <row r="189" spans="1:11" ht="33.75" customHeight="1">
      <c r="A189">
        <v>188</v>
      </c>
      <c r="B189" s="8">
        <v>45148</v>
      </c>
      <c r="C189" t="s">
        <v>11</v>
      </c>
      <c r="D189" t="s">
        <v>48</v>
      </c>
      <c r="E189" s="1">
        <v>14</v>
      </c>
      <c r="F189" t="s">
        <v>55</v>
      </c>
      <c r="G189" s="1">
        <v>175344.14</v>
      </c>
      <c r="H189" s="2">
        <f t="shared" si="2"/>
        <v>175.34414000000001</v>
      </c>
      <c r="I189" s="1" t="s">
        <v>24</v>
      </c>
      <c r="J189">
        <v>0</v>
      </c>
      <c r="K189" s="9">
        <v>0</v>
      </c>
    </row>
    <row r="190" spans="1:11" ht="23.25" customHeight="1">
      <c r="A190">
        <v>189</v>
      </c>
      <c r="B190" s="8">
        <v>45154</v>
      </c>
      <c r="C190" t="s">
        <v>11</v>
      </c>
      <c r="D190" t="s">
        <v>48</v>
      </c>
      <c r="E190" s="1">
        <v>8</v>
      </c>
      <c r="F190" t="s">
        <v>55</v>
      </c>
      <c r="G190" s="1">
        <v>118629.95</v>
      </c>
      <c r="H190" s="2">
        <f t="shared" si="2"/>
        <v>118.62994999999999</v>
      </c>
      <c r="I190" s="1" t="s">
        <v>24</v>
      </c>
      <c r="J190">
        <v>0</v>
      </c>
      <c r="K190" s="9">
        <v>0</v>
      </c>
    </row>
    <row r="191" spans="1:11" ht="30" customHeight="1">
      <c r="A191">
        <v>190</v>
      </c>
      <c r="B191" s="8">
        <v>45175</v>
      </c>
      <c r="C191" t="s">
        <v>11</v>
      </c>
      <c r="D191" t="s">
        <v>12</v>
      </c>
      <c r="E191" s="1">
        <v>2</v>
      </c>
      <c r="F191" t="s">
        <v>13</v>
      </c>
      <c r="G191" s="1">
        <v>50400</v>
      </c>
      <c r="H191" s="2">
        <f t="shared" si="2"/>
        <v>50.4</v>
      </c>
      <c r="I191" s="1" t="s">
        <v>18</v>
      </c>
      <c r="J191">
        <v>0</v>
      </c>
      <c r="K191" s="9">
        <v>0</v>
      </c>
    </row>
    <row r="192" spans="1:11" ht="18" customHeight="1">
      <c r="A192">
        <v>191</v>
      </c>
      <c r="B192" s="8">
        <v>45181</v>
      </c>
      <c r="C192" t="s">
        <v>11</v>
      </c>
      <c r="D192" t="s">
        <v>48</v>
      </c>
      <c r="E192" s="1">
        <v>5</v>
      </c>
      <c r="F192" t="s">
        <v>13</v>
      </c>
      <c r="G192" s="1">
        <v>126080</v>
      </c>
      <c r="H192" s="2">
        <f t="shared" si="2"/>
        <v>126.08</v>
      </c>
      <c r="I192" s="1" t="s">
        <v>16</v>
      </c>
      <c r="J192">
        <v>0</v>
      </c>
      <c r="K192" s="9">
        <v>0</v>
      </c>
    </row>
    <row r="193" spans="1:11" ht="18.75" customHeight="1">
      <c r="A193">
        <v>192</v>
      </c>
      <c r="B193" s="8">
        <v>45210</v>
      </c>
      <c r="C193" t="s">
        <v>11</v>
      </c>
      <c r="D193" t="s">
        <v>12</v>
      </c>
      <c r="E193" s="1">
        <v>2</v>
      </c>
      <c r="F193" t="s">
        <v>13</v>
      </c>
      <c r="G193" s="1">
        <v>50440</v>
      </c>
      <c r="H193" s="2">
        <f t="shared" si="2"/>
        <v>50.44</v>
      </c>
      <c r="I193" s="1" t="s">
        <v>41</v>
      </c>
      <c r="J193">
        <v>0</v>
      </c>
      <c r="K193" s="9">
        <v>0</v>
      </c>
    </row>
    <row r="194" spans="1:11" ht="12.75" customHeight="1">
      <c r="A194">
        <v>193</v>
      </c>
      <c r="B194" s="8">
        <v>45219</v>
      </c>
      <c r="C194" t="s">
        <v>11</v>
      </c>
      <c r="D194" t="s">
        <v>48</v>
      </c>
      <c r="E194" s="1">
        <v>1</v>
      </c>
      <c r="F194" t="s">
        <v>23</v>
      </c>
      <c r="G194" s="1">
        <v>25220</v>
      </c>
      <c r="H194" s="2">
        <f t="shared" ref="H194:H257" si="3">G194/1000</f>
        <v>25.22</v>
      </c>
      <c r="I194" s="1" t="s">
        <v>24</v>
      </c>
      <c r="J194">
        <v>0</v>
      </c>
      <c r="K194" s="9">
        <v>0</v>
      </c>
    </row>
    <row r="195" spans="1:11" ht="22.5" customHeight="1">
      <c r="A195">
        <v>194</v>
      </c>
      <c r="B195" s="8">
        <v>45224</v>
      </c>
      <c r="C195" t="s">
        <v>58</v>
      </c>
      <c r="D195" t="s">
        <v>59</v>
      </c>
      <c r="E195" s="1">
        <v>0</v>
      </c>
      <c r="F195" t="s">
        <v>60</v>
      </c>
      <c r="G195" s="1">
        <v>67566.14</v>
      </c>
      <c r="H195" s="2">
        <f t="shared" si="3"/>
        <v>67.566140000000004</v>
      </c>
      <c r="I195" s="1" t="s">
        <v>61</v>
      </c>
      <c r="J195">
        <v>0</v>
      </c>
      <c r="K195" s="9">
        <v>0</v>
      </c>
    </row>
    <row r="196" spans="1:11" ht="27.75" customHeight="1">
      <c r="A196">
        <v>195</v>
      </c>
      <c r="B196" s="8">
        <v>45238</v>
      </c>
      <c r="C196" t="s">
        <v>11</v>
      </c>
      <c r="D196" t="s">
        <v>12</v>
      </c>
      <c r="E196" s="1">
        <v>2</v>
      </c>
      <c r="F196" t="s">
        <v>13</v>
      </c>
      <c r="G196" s="1">
        <v>50440</v>
      </c>
      <c r="H196" s="2">
        <f t="shared" si="3"/>
        <v>50.44</v>
      </c>
      <c r="I196" s="1" t="s">
        <v>14</v>
      </c>
      <c r="J196">
        <v>0</v>
      </c>
      <c r="K196" s="9">
        <v>0</v>
      </c>
    </row>
    <row r="197" spans="1:11" ht="15.75" customHeight="1">
      <c r="A197">
        <v>196</v>
      </c>
      <c r="B197" s="8">
        <v>45271</v>
      </c>
      <c r="C197" t="s">
        <v>11</v>
      </c>
      <c r="D197" t="s">
        <v>12</v>
      </c>
      <c r="E197" s="1">
        <v>2</v>
      </c>
      <c r="F197" t="s">
        <v>13</v>
      </c>
      <c r="G197" s="1">
        <v>50200</v>
      </c>
      <c r="H197" s="2">
        <f t="shared" si="3"/>
        <v>50.2</v>
      </c>
      <c r="I197" s="1" t="s">
        <v>16</v>
      </c>
      <c r="J197">
        <v>0</v>
      </c>
      <c r="K197" s="9">
        <v>0</v>
      </c>
    </row>
    <row r="198" spans="1:11" ht="13.5" customHeight="1">
      <c r="A198">
        <v>197</v>
      </c>
      <c r="B198" s="8">
        <v>45276</v>
      </c>
      <c r="C198" t="s">
        <v>58</v>
      </c>
      <c r="D198" t="s">
        <v>59</v>
      </c>
      <c r="E198" s="1">
        <v>0</v>
      </c>
      <c r="F198" t="s">
        <v>62</v>
      </c>
      <c r="G198" s="1">
        <v>25690</v>
      </c>
      <c r="H198" s="2">
        <f t="shared" si="3"/>
        <v>25.69</v>
      </c>
      <c r="I198" s="1" t="s">
        <v>61</v>
      </c>
      <c r="J198">
        <v>0</v>
      </c>
      <c r="K198" s="9">
        <v>0</v>
      </c>
    </row>
    <row r="199" spans="1:11" ht="24" customHeight="1">
      <c r="A199">
        <v>198</v>
      </c>
      <c r="B199" s="8">
        <v>45315</v>
      </c>
      <c r="C199" t="s">
        <v>11</v>
      </c>
      <c r="D199" t="s">
        <v>48</v>
      </c>
      <c r="E199" s="1">
        <v>1</v>
      </c>
      <c r="F199" t="s">
        <v>13</v>
      </c>
      <c r="G199" s="1">
        <v>25100</v>
      </c>
      <c r="H199" s="2">
        <f t="shared" si="3"/>
        <v>25.1</v>
      </c>
      <c r="I199" s="1" t="s">
        <v>24</v>
      </c>
      <c r="J199">
        <v>0</v>
      </c>
      <c r="K199" s="9">
        <v>0</v>
      </c>
    </row>
    <row r="200" spans="1:11" ht="13.5" customHeight="1">
      <c r="A200">
        <v>199</v>
      </c>
      <c r="B200" s="8">
        <v>45322</v>
      </c>
      <c r="C200" t="s">
        <v>11</v>
      </c>
      <c r="D200" t="s">
        <v>48</v>
      </c>
      <c r="E200" s="1">
        <v>2</v>
      </c>
      <c r="F200" t="s">
        <v>35</v>
      </c>
      <c r="G200" s="1">
        <v>51208</v>
      </c>
      <c r="H200" s="2">
        <f t="shared" si="3"/>
        <v>51.207999999999998</v>
      </c>
      <c r="I200" s="1" t="s">
        <v>34</v>
      </c>
      <c r="J200">
        <v>0</v>
      </c>
      <c r="K200" s="9">
        <v>0</v>
      </c>
    </row>
    <row r="201" spans="1:11">
      <c r="A201">
        <v>200</v>
      </c>
      <c r="B201" s="8">
        <v>45329</v>
      </c>
      <c r="C201" t="s">
        <v>11</v>
      </c>
      <c r="D201" t="s">
        <v>12</v>
      </c>
      <c r="E201" s="1">
        <v>3</v>
      </c>
      <c r="F201" t="s">
        <v>27</v>
      </c>
      <c r="G201" s="1">
        <v>70000</v>
      </c>
      <c r="H201" s="2">
        <f t="shared" si="3"/>
        <v>70</v>
      </c>
      <c r="I201" s="1" t="s">
        <v>24</v>
      </c>
      <c r="J201">
        <v>0</v>
      </c>
      <c r="K201" s="9">
        <v>0</v>
      </c>
    </row>
    <row r="202" spans="1:11" ht="27" customHeight="1">
      <c r="A202">
        <v>201</v>
      </c>
      <c r="B202" s="8">
        <v>45337</v>
      </c>
      <c r="C202" t="s">
        <v>11</v>
      </c>
      <c r="D202" t="s">
        <v>48</v>
      </c>
      <c r="E202" s="1">
        <v>2</v>
      </c>
      <c r="F202" t="s">
        <v>35</v>
      </c>
      <c r="G202" s="1">
        <v>39558</v>
      </c>
      <c r="H202" s="2">
        <f t="shared" si="3"/>
        <v>39.558</v>
      </c>
      <c r="I202" s="1" t="s">
        <v>34</v>
      </c>
      <c r="J202">
        <v>0</v>
      </c>
      <c r="K202" s="9">
        <v>0</v>
      </c>
    </row>
    <row r="203" spans="1:11" ht="21.75" customHeight="1">
      <c r="A203">
        <v>202</v>
      </c>
      <c r="B203" s="8">
        <v>45342</v>
      </c>
      <c r="C203" t="s">
        <v>11</v>
      </c>
      <c r="D203" t="s">
        <v>48</v>
      </c>
      <c r="E203" s="1">
        <v>1</v>
      </c>
      <c r="F203" t="s">
        <v>23</v>
      </c>
      <c r="G203" s="1">
        <v>22000</v>
      </c>
      <c r="H203" s="2">
        <f t="shared" si="3"/>
        <v>22</v>
      </c>
      <c r="I203" s="1" t="s">
        <v>24</v>
      </c>
      <c r="J203">
        <v>0</v>
      </c>
      <c r="K203" s="9">
        <v>0</v>
      </c>
    </row>
    <row r="204" spans="1:11" ht="19.5" customHeight="1">
      <c r="A204">
        <v>203</v>
      </c>
      <c r="B204" s="8">
        <v>45349</v>
      </c>
      <c r="C204" t="s">
        <v>11</v>
      </c>
      <c r="D204" t="s">
        <v>48</v>
      </c>
      <c r="E204" s="1">
        <v>4</v>
      </c>
      <c r="F204" t="s">
        <v>13</v>
      </c>
      <c r="G204" s="1">
        <v>100660</v>
      </c>
      <c r="H204" s="2">
        <f t="shared" si="3"/>
        <v>100.66</v>
      </c>
      <c r="I204" s="1" t="s">
        <v>17</v>
      </c>
      <c r="J204">
        <v>0</v>
      </c>
      <c r="K204" s="9">
        <v>0</v>
      </c>
    </row>
    <row r="205" spans="1:11" ht="22.5" customHeight="1">
      <c r="A205">
        <v>204</v>
      </c>
      <c r="B205" s="8">
        <v>45358</v>
      </c>
      <c r="C205" t="s">
        <v>11</v>
      </c>
      <c r="D205" t="s">
        <v>12</v>
      </c>
      <c r="E205" s="1">
        <v>2</v>
      </c>
      <c r="F205" t="s">
        <v>13</v>
      </c>
      <c r="G205" s="1">
        <v>36600</v>
      </c>
      <c r="H205" s="2">
        <f t="shared" si="3"/>
        <v>36.6</v>
      </c>
      <c r="I205" s="1" t="s">
        <v>51</v>
      </c>
      <c r="J205">
        <v>0</v>
      </c>
      <c r="K205" s="9">
        <v>0</v>
      </c>
    </row>
    <row r="206" spans="1:11" ht="26.25" customHeight="1">
      <c r="A206">
        <v>205</v>
      </c>
      <c r="B206" s="8">
        <v>45358</v>
      </c>
      <c r="C206" t="s">
        <v>11</v>
      </c>
      <c r="D206" t="s">
        <v>48</v>
      </c>
      <c r="E206" s="1">
        <v>2</v>
      </c>
      <c r="F206" t="s">
        <v>13</v>
      </c>
      <c r="G206" s="1">
        <v>50080</v>
      </c>
      <c r="H206" s="2">
        <f t="shared" si="3"/>
        <v>50.08</v>
      </c>
      <c r="I206" s="1" t="s">
        <v>63</v>
      </c>
      <c r="J206">
        <v>0</v>
      </c>
      <c r="K206" s="9">
        <v>0</v>
      </c>
    </row>
    <row r="207" spans="1:11" ht="18" customHeight="1">
      <c r="A207">
        <v>206</v>
      </c>
      <c r="B207" s="8">
        <v>45365</v>
      </c>
      <c r="C207" t="s">
        <v>11</v>
      </c>
      <c r="D207" t="s">
        <v>48</v>
      </c>
      <c r="E207" s="1">
        <v>3</v>
      </c>
      <c r="F207" t="s">
        <v>13</v>
      </c>
      <c r="G207" s="1">
        <v>68160</v>
      </c>
      <c r="H207" s="2">
        <f t="shared" si="3"/>
        <v>68.16</v>
      </c>
      <c r="I207" s="1" t="s">
        <v>20</v>
      </c>
      <c r="J207">
        <v>0</v>
      </c>
      <c r="K207" s="9">
        <v>0</v>
      </c>
    </row>
    <row r="208" spans="1:11" ht="24" customHeight="1">
      <c r="A208">
        <v>207</v>
      </c>
      <c r="B208" s="8">
        <v>45365</v>
      </c>
      <c r="C208" t="s">
        <v>11</v>
      </c>
      <c r="D208" t="s">
        <v>48</v>
      </c>
      <c r="E208" s="1">
        <v>2</v>
      </c>
      <c r="F208" t="s">
        <v>13</v>
      </c>
      <c r="G208" s="1">
        <v>43300</v>
      </c>
      <c r="H208" s="2">
        <f t="shared" si="3"/>
        <v>43.3</v>
      </c>
      <c r="I208" s="1" t="s">
        <v>20</v>
      </c>
      <c r="J208">
        <v>0</v>
      </c>
      <c r="K208" s="9">
        <v>0</v>
      </c>
    </row>
    <row r="209" spans="1:11" ht="27" customHeight="1">
      <c r="A209">
        <v>208</v>
      </c>
      <c r="B209" s="8">
        <v>45365</v>
      </c>
      <c r="C209" t="s">
        <v>11</v>
      </c>
      <c r="D209" t="s">
        <v>48</v>
      </c>
      <c r="E209" s="1">
        <v>1</v>
      </c>
      <c r="F209" t="s">
        <v>13</v>
      </c>
      <c r="G209" s="1">
        <v>25060</v>
      </c>
      <c r="H209" s="2">
        <f t="shared" si="3"/>
        <v>25.06</v>
      </c>
      <c r="I209" s="1" t="s">
        <v>20</v>
      </c>
      <c r="J209">
        <v>0</v>
      </c>
      <c r="K209" s="9">
        <v>0</v>
      </c>
    </row>
    <row r="210" spans="1:11" ht="24" customHeight="1">
      <c r="A210">
        <v>209</v>
      </c>
      <c r="B210" s="8">
        <v>45365</v>
      </c>
      <c r="C210" t="s">
        <v>11</v>
      </c>
      <c r="D210" t="s">
        <v>48</v>
      </c>
      <c r="E210" s="1">
        <v>5</v>
      </c>
      <c r="F210" t="s">
        <v>13</v>
      </c>
      <c r="G210" s="1">
        <v>125380</v>
      </c>
      <c r="H210" s="2">
        <f t="shared" si="3"/>
        <v>125.38</v>
      </c>
      <c r="I210" s="1" t="s">
        <v>20</v>
      </c>
      <c r="J210">
        <v>0</v>
      </c>
      <c r="K210" s="9">
        <v>0</v>
      </c>
    </row>
    <row r="211" spans="1:11" ht="26.25" customHeight="1">
      <c r="A211">
        <v>210</v>
      </c>
      <c r="B211" s="8">
        <v>45365</v>
      </c>
      <c r="C211" t="s">
        <v>11</v>
      </c>
      <c r="D211" t="s">
        <v>48</v>
      </c>
      <c r="E211" s="1">
        <v>10</v>
      </c>
      <c r="F211" t="s">
        <v>13</v>
      </c>
      <c r="G211" s="1">
        <v>251000</v>
      </c>
      <c r="H211" s="2">
        <f t="shared" si="3"/>
        <v>251</v>
      </c>
      <c r="I211" s="1" t="s">
        <v>15</v>
      </c>
      <c r="J211">
        <v>0</v>
      </c>
      <c r="K211" s="9">
        <v>0</v>
      </c>
    </row>
    <row r="212" spans="1:11" ht="24" customHeight="1">
      <c r="A212">
        <v>211</v>
      </c>
      <c r="B212" s="8">
        <v>45371</v>
      </c>
      <c r="C212" t="s">
        <v>11</v>
      </c>
      <c r="D212" t="s">
        <v>48</v>
      </c>
      <c r="E212" s="1">
        <v>1</v>
      </c>
      <c r="F212" t="s">
        <v>13</v>
      </c>
      <c r="G212" s="1">
        <v>25080</v>
      </c>
      <c r="H212" s="2">
        <f t="shared" si="3"/>
        <v>25.08</v>
      </c>
      <c r="I212" s="1" t="s">
        <v>34</v>
      </c>
      <c r="J212">
        <v>0</v>
      </c>
      <c r="K212" s="9">
        <v>0</v>
      </c>
    </row>
    <row r="213" spans="1:11" ht="18.75" customHeight="1">
      <c r="A213">
        <v>212</v>
      </c>
      <c r="B213" s="8">
        <v>45371</v>
      </c>
      <c r="C213" t="s">
        <v>11</v>
      </c>
      <c r="D213" t="s">
        <v>48</v>
      </c>
      <c r="E213" s="1">
        <v>1</v>
      </c>
      <c r="F213" t="s">
        <v>23</v>
      </c>
      <c r="G213" s="1">
        <v>22710</v>
      </c>
      <c r="H213" s="2">
        <f t="shared" si="3"/>
        <v>22.71</v>
      </c>
      <c r="I213" s="1" t="s">
        <v>24</v>
      </c>
      <c r="J213">
        <v>0</v>
      </c>
      <c r="K213" s="9">
        <v>0</v>
      </c>
    </row>
    <row r="214" spans="1:11" ht="26.25" customHeight="1">
      <c r="A214">
        <v>213</v>
      </c>
      <c r="B214" s="8">
        <v>45371</v>
      </c>
      <c r="C214" t="s">
        <v>11</v>
      </c>
      <c r="D214" t="s">
        <v>48</v>
      </c>
      <c r="E214" s="1">
        <v>2</v>
      </c>
      <c r="F214" t="s">
        <v>13</v>
      </c>
      <c r="G214" s="1">
        <v>47340</v>
      </c>
      <c r="H214" s="2">
        <f t="shared" si="3"/>
        <v>47.34</v>
      </c>
      <c r="I214" s="1" t="s">
        <v>20</v>
      </c>
      <c r="J214">
        <v>0</v>
      </c>
      <c r="K214" s="9">
        <v>0</v>
      </c>
    </row>
    <row r="215" spans="1:11" ht="26.25" customHeight="1">
      <c r="A215">
        <v>214</v>
      </c>
      <c r="B215" s="8">
        <v>45371</v>
      </c>
      <c r="C215" t="s">
        <v>11</v>
      </c>
      <c r="D215" t="s">
        <v>48</v>
      </c>
      <c r="E215" s="1">
        <v>5</v>
      </c>
      <c r="F215" t="s">
        <v>13</v>
      </c>
      <c r="G215" s="1">
        <v>125780</v>
      </c>
      <c r="H215" s="2">
        <f t="shared" si="3"/>
        <v>125.78</v>
      </c>
      <c r="I215" s="1" t="s">
        <v>20</v>
      </c>
      <c r="J215">
        <v>0</v>
      </c>
      <c r="K215" s="9">
        <v>0</v>
      </c>
    </row>
    <row r="216" spans="1:11" ht="27.75" customHeight="1">
      <c r="A216">
        <v>215</v>
      </c>
      <c r="B216" s="8">
        <v>45377</v>
      </c>
      <c r="C216" t="s">
        <v>11</v>
      </c>
      <c r="D216" t="s">
        <v>48</v>
      </c>
      <c r="E216" s="1">
        <v>10</v>
      </c>
      <c r="F216" t="s">
        <v>13</v>
      </c>
      <c r="G216" s="1">
        <v>250960</v>
      </c>
      <c r="H216" s="2">
        <f t="shared" si="3"/>
        <v>250.96</v>
      </c>
      <c r="I216" s="1" t="s">
        <v>15</v>
      </c>
      <c r="J216">
        <v>0</v>
      </c>
      <c r="K216" s="9">
        <v>0</v>
      </c>
    </row>
    <row r="217" spans="1:11" ht="27" customHeight="1">
      <c r="A217">
        <v>216</v>
      </c>
      <c r="B217" s="8">
        <v>45386</v>
      </c>
      <c r="C217" t="s">
        <v>11</v>
      </c>
      <c r="D217" t="s">
        <v>48</v>
      </c>
      <c r="E217" s="1">
        <v>10</v>
      </c>
      <c r="F217" t="s">
        <v>13</v>
      </c>
      <c r="G217" s="1">
        <v>250720</v>
      </c>
      <c r="H217" s="2">
        <f t="shared" si="3"/>
        <v>250.72</v>
      </c>
      <c r="I217" s="1" t="s">
        <v>15</v>
      </c>
      <c r="J217">
        <v>0</v>
      </c>
      <c r="K217" s="9">
        <v>0</v>
      </c>
    </row>
    <row r="218" spans="1:11" ht="39" customHeight="1">
      <c r="A218">
        <v>217</v>
      </c>
      <c r="B218" s="8">
        <v>45390</v>
      </c>
      <c r="C218" t="s">
        <v>11</v>
      </c>
      <c r="D218" t="s">
        <v>59</v>
      </c>
      <c r="E218" s="1">
        <v>1</v>
      </c>
      <c r="F218" t="s">
        <v>64</v>
      </c>
      <c r="G218" s="1">
        <v>5374.8</v>
      </c>
      <c r="H218" s="2">
        <f t="shared" si="3"/>
        <v>5.3748000000000005</v>
      </c>
      <c r="I218" s="1" t="s">
        <v>65</v>
      </c>
      <c r="J218">
        <v>0</v>
      </c>
      <c r="K218" s="9">
        <v>0</v>
      </c>
    </row>
    <row r="219" spans="1:11" ht="48" customHeight="1">
      <c r="A219">
        <v>218</v>
      </c>
      <c r="B219" s="8">
        <v>45393</v>
      </c>
      <c r="C219" t="s">
        <v>11</v>
      </c>
      <c r="D219" t="s">
        <v>48</v>
      </c>
      <c r="E219" s="1">
        <v>3</v>
      </c>
      <c r="F219" t="s">
        <v>13</v>
      </c>
      <c r="G219" s="1">
        <v>72160</v>
      </c>
      <c r="H219" s="2">
        <f t="shared" si="3"/>
        <v>72.16</v>
      </c>
      <c r="I219" s="1" t="s">
        <v>17</v>
      </c>
      <c r="J219">
        <v>0</v>
      </c>
      <c r="K219" s="9">
        <v>0</v>
      </c>
    </row>
    <row r="220" spans="1:11" ht="33.75" customHeight="1">
      <c r="A220">
        <v>219</v>
      </c>
      <c r="B220" s="8">
        <v>45393</v>
      </c>
      <c r="C220" t="s">
        <v>11</v>
      </c>
      <c r="D220" t="s">
        <v>48</v>
      </c>
      <c r="E220" s="1">
        <v>2</v>
      </c>
      <c r="F220" t="s">
        <v>13</v>
      </c>
      <c r="G220" s="1">
        <v>50200</v>
      </c>
      <c r="H220" s="2">
        <f t="shared" si="3"/>
        <v>50.2</v>
      </c>
      <c r="I220" s="1" t="s">
        <v>20</v>
      </c>
      <c r="J220">
        <v>0</v>
      </c>
      <c r="K220" s="9">
        <v>0</v>
      </c>
    </row>
    <row r="221" spans="1:11" ht="28.5" customHeight="1">
      <c r="A221">
        <v>220</v>
      </c>
      <c r="B221" s="8">
        <v>45407</v>
      </c>
      <c r="C221" t="s">
        <v>11</v>
      </c>
      <c r="D221" t="s">
        <v>12</v>
      </c>
      <c r="E221" s="1">
        <v>2</v>
      </c>
      <c r="F221" t="s">
        <v>13</v>
      </c>
      <c r="G221" s="1">
        <v>40480</v>
      </c>
      <c r="H221" s="2">
        <f t="shared" si="3"/>
        <v>40.479999999999997</v>
      </c>
      <c r="I221" s="1" t="s">
        <v>51</v>
      </c>
      <c r="J221">
        <v>0</v>
      </c>
      <c r="K221" s="9">
        <v>0</v>
      </c>
    </row>
    <row r="222" spans="1:11" ht="37.5" customHeight="1">
      <c r="A222">
        <v>221</v>
      </c>
      <c r="B222" s="8">
        <v>45408</v>
      </c>
      <c r="C222" t="s">
        <v>11</v>
      </c>
      <c r="D222" t="s">
        <v>48</v>
      </c>
      <c r="E222" s="1">
        <v>2</v>
      </c>
      <c r="F222" t="s">
        <v>13</v>
      </c>
      <c r="G222" s="1">
        <v>50040</v>
      </c>
      <c r="H222" s="2">
        <f t="shared" si="3"/>
        <v>50.04</v>
      </c>
      <c r="I222" s="1" t="s">
        <v>63</v>
      </c>
      <c r="J222">
        <v>0</v>
      </c>
      <c r="K222" s="9">
        <v>0</v>
      </c>
    </row>
    <row r="223" spans="1:11" ht="34.5" customHeight="1">
      <c r="A223">
        <v>222</v>
      </c>
      <c r="B223" s="8">
        <v>45418</v>
      </c>
      <c r="C223" t="s">
        <v>11</v>
      </c>
      <c r="D223" t="s">
        <v>12</v>
      </c>
      <c r="E223" s="1">
        <v>2</v>
      </c>
      <c r="F223" t="s">
        <v>13</v>
      </c>
      <c r="G223" s="1">
        <v>50200</v>
      </c>
      <c r="H223" s="2">
        <f t="shared" si="3"/>
        <v>50.2</v>
      </c>
      <c r="I223" s="1" t="s">
        <v>20</v>
      </c>
      <c r="J223">
        <v>0</v>
      </c>
      <c r="K223" s="9">
        <v>0</v>
      </c>
    </row>
    <row r="224" spans="1:11" ht="40.5" customHeight="1">
      <c r="A224">
        <v>223</v>
      </c>
      <c r="B224" s="8">
        <v>45415</v>
      </c>
      <c r="C224" t="s">
        <v>11</v>
      </c>
      <c r="D224" t="s">
        <v>48</v>
      </c>
      <c r="E224" s="1">
        <v>2</v>
      </c>
      <c r="F224" t="s">
        <v>23</v>
      </c>
      <c r="G224" s="1">
        <v>45440</v>
      </c>
      <c r="H224" s="2">
        <f t="shared" si="3"/>
        <v>45.44</v>
      </c>
      <c r="I224" s="1" t="s">
        <v>24</v>
      </c>
      <c r="J224">
        <v>0</v>
      </c>
      <c r="K224" s="9">
        <v>0</v>
      </c>
    </row>
    <row r="225" spans="1:11" ht="38.25" customHeight="1">
      <c r="A225">
        <v>224</v>
      </c>
      <c r="B225" s="8">
        <v>45420</v>
      </c>
      <c r="C225" t="s">
        <v>11</v>
      </c>
      <c r="D225" t="s">
        <v>12</v>
      </c>
      <c r="E225" s="1">
        <v>2</v>
      </c>
      <c r="F225" t="s">
        <v>13</v>
      </c>
      <c r="G225" s="1">
        <v>40000</v>
      </c>
      <c r="H225" s="2">
        <f t="shared" si="3"/>
        <v>40</v>
      </c>
      <c r="I225" s="1" t="s">
        <v>51</v>
      </c>
      <c r="J225">
        <v>0</v>
      </c>
      <c r="K225" s="9">
        <v>0</v>
      </c>
    </row>
    <row r="226" spans="1:11" ht="36" customHeight="1">
      <c r="A226">
        <v>225</v>
      </c>
      <c r="B226" s="8">
        <v>45421</v>
      </c>
      <c r="C226" t="s">
        <v>11</v>
      </c>
      <c r="D226" t="s">
        <v>48</v>
      </c>
      <c r="E226" s="1">
        <v>3</v>
      </c>
      <c r="F226" t="s">
        <v>13</v>
      </c>
      <c r="G226" s="1">
        <v>75000</v>
      </c>
      <c r="H226" s="2">
        <f t="shared" si="3"/>
        <v>75</v>
      </c>
      <c r="I226" s="1" t="s">
        <v>17</v>
      </c>
      <c r="J226">
        <v>0</v>
      </c>
      <c r="K226" s="9">
        <v>0</v>
      </c>
    </row>
    <row r="227" spans="1:11" ht="31.5" customHeight="1">
      <c r="A227">
        <v>226</v>
      </c>
      <c r="B227" s="8">
        <v>45421</v>
      </c>
      <c r="C227" t="s">
        <v>11</v>
      </c>
      <c r="D227" t="s">
        <v>48</v>
      </c>
      <c r="E227" s="1">
        <v>2</v>
      </c>
      <c r="F227" t="s">
        <v>13</v>
      </c>
      <c r="G227" s="1">
        <v>50000</v>
      </c>
      <c r="H227" s="2">
        <f t="shared" si="3"/>
        <v>50</v>
      </c>
      <c r="I227" s="1" t="s">
        <v>17</v>
      </c>
      <c r="J227">
        <v>0</v>
      </c>
      <c r="K227" s="9">
        <v>0</v>
      </c>
    </row>
    <row r="228" spans="1:11" ht="32.25" customHeight="1">
      <c r="A228">
        <v>227</v>
      </c>
      <c r="B228" s="8">
        <v>45421</v>
      </c>
      <c r="C228" t="s">
        <v>11</v>
      </c>
      <c r="D228" t="s">
        <v>48</v>
      </c>
      <c r="E228" s="1">
        <v>1</v>
      </c>
      <c r="F228" t="s">
        <v>23</v>
      </c>
      <c r="G228" s="1">
        <v>23250</v>
      </c>
      <c r="H228" s="2">
        <f t="shared" si="3"/>
        <v>23.25</v>
      </c>
      <c r="I228" s="1" t="s">
        <v>34</v>
      </c>
      <c r="J228">
        <v>0</v>
      </c>
      <c r="K228" s="9">
        <v>0</v>
      </c>
    </row>
    <row r="229" spans="1:11" ht="23.25" customHeight="1">
      <c r="A229">
        <v>228</v>
      </c>
      <c r="B229" s="8">
        <v>45420</v>
      </c>
      <c r="C229" t="s">
        <v>11</v>
      </c>
      <c r="D229" t="s">
        <v>12</v>
      </c>
      <c r="E229" s="1">
        <v>3</v>
      </c>
      <c r="F229" t="s">
        <v>13</v>
      </c>
      <c r="G229" s="1">
        <v>75000</v>
      </c>
      <c r="H229" s="2">
        <f t="shared" si="3"/>
        <v>75</v>
      </c>
      <c r="I229" s="1" t="s">
        <v>17</v>
      </c>
      <c r="J229">
        <v>0</v>
      </c>
      <c r="K229" s="9">
        <v>0</v>
      </c>
    </row>
    <row r="230" spans="1:11" ht="22.5" customHeight="1">
      <c r="A230">
        <v>229</v>
      </c>
      <c r="B230" s="8">
        <v>45427</v>
      </c>
      <c r="C230" t="s">
        <v>11</v>
      </c>
      <c r="D230" t="s">
        <v>48</v>
      </c>
      <c r="E230" s="1">
        <v>2</v>
      </c>
      <c r="F230" t="s">
        <v>13</v>
      </c>
      <c r="G230" s="1">
        <v>50200</v>
      </c>
      <c r="H230" s="2">
        <f t="shared" si="3"/>
        <v>50.2</v>
      </c>
      <c r="I230" s="1" t="s">
        <v>63</v>
      </c>
      <c r="J230">
        <v>0</v>
      </c>
      <c r="K230" s="9">
        <v>0</v>
      </c>
    </row>
    <row r="231" spans="1:11" ht="40.5" customHeight="1">
      <c r="A231">
        <v>230</v>
      </c>
      <c r="B231" s="8">
        <v>45427</v>
      </c>
      <c r="C231" t="s">
        <v>11</v>
      </c>
      <c r="D231" t="s">
        <v>48</v>
      </c>
      <c r="E231" s="1">
        <v>10</v>
      </c>
      <c r="F231" t="s">
        <v>13</v>
      </c>
      <c r="G231" s="1">
        <v>251000</v>
      </c>
      <c r="H231" s="2">
        <f t="shared" si="3"/>
        <v>251</v>
      </c>
      <c r="I231" s="1" t="s">
        <v>16</v>
      </c>
      <c r="J231">
        <v>0</v>
      </c>
      <c r="K231" s="9">
        <v>0</v>
      </c>
    </row>
    <row r="232" spans="1:11" ht="41.25" customHeight="1">
      <c r="A232">
        <v>231</v>
      </c>
      <c r="B232" s="8">
        <v>45433</v>
      </c>
      <c r="C232" t="s">
        <v>11</v>
      </c>
      <c r="D232" t="s">
        <v>48</v>
      </c>
      <c r="E232" s="1">
        <v>3</v>
      </c>
      <c r="F232" t="s">
        <v>13</v>
      </c>
      <c r="G232" s="1">
        <v>75300</v>
      </c>
      <c r="H232" s="2">
        <f t="shared" si="3"/>
        <v>75.3</v>
      </c>
      <c r="I232" s="1" t="s">
        <v>41</v>
      </c>
      <c r="J232">
        <v>0</v>
      </c>
      <c r="K232" s="9">
        <v>0</v>
      </c>
    </row>
    <row r="233" spans="1:11" ht="36.75" customHeight="1">
      <c r="A233">
        <v>232</v>
      </c>
      <c r="B233" s="8">
        <v>45433</v>
      </c>
      <c r="C233" t="s">
        <v>11</v>
      </c>
      <c r="D233" t="s">
        <v>48</v>
      </c>
      <c r="E233" s="1">
        <v>5</v>
      </c>
      <c r="F233" t="s">
        <v>13</v>
      </c>
      <c r="G233" s="1">
        <v>125500</v>
      </c>
      <c r="H233" s="2">
        <f t="shared" si="3"/>
        <v>125.5</v>
      </c>
      <c r="I233" s="1" t="s">
        <v>20</v>
      </c>
      <c r="J233">
        <v>0</v>
      </c>
      <c r="K233" s="9">
        <v>0</v>
      </c>
    </row>
    <row r="234" spans="1:11" ht="37.5" customHeight="1">
      <c r="A234">
        <v>233</v>
      </c>
      <c r="B234" s="8">
        <v>45434</v>
      </c>
      <c r="C234" t="s">
        <v>11</v>
      </c>
      <c r="D234" t="s">
        <v>48</v>
      </c>
      <c r="E234" s="1">
        <v>10</v>
      </c>
      <c r="F234" t="s">
        <v>13</v>
      </c>
      <c r="G234" s="1">
        <v>251000</v>
      </c>
      <c r="H234" s="2">
        <f t="shared" si="3"/>
        <v>251</v>
      </c>
      <c r="I234" s="1" t="s">
        <v>16</v>
      </c>
      <c r="J234">
        <v>0</v>
      </c>
      <c r="K234" s="9">
        <v>0</v>
      </c>
    </row>
    <row r="235" spans="1:11" ht="33.75" customHeight="1">
      <c r="A235">
        <v>234</v>
      </c>
      <c r="B235" s="8">
        <v>45434</v>
      </c>
      <c r="C235" t="s">
        <v>11</v>
      </c>
      <c r="D235" t="s">
        <v>48</v>
      </c>
      <c r="E235" s="1">
        <v>10</v>
      </c>
      <c r="F235" t="s">
        <v>13</v>
      </c>
      <c r="G235" s="1">
        <v>251000</v>
      </c>
      <c r="H235" s="2">
        <f t="shared" si="3"/>
        <v>251</v>
      </c>
      <c r="I235" s="1" t="s">
        <v>16</v>
      </c>
      <c r="J235">
        <v>0</v>
      </c>
      <c r="K235" s="9">
        <v>0</v>
      </c>
    </row>
    <row r="236" spans="1:11" ht="30" customHeight="1">
      <c r="A236">
        <v>235</v>
      </c>
      <c r="B236" s="8">
        <v>45440</v>
      </c>
      <c r="C236" t="s">
        <v>11</v>
      </c>
      <c r="D236" t="s">
        <v>48</v>
      </c>
      <c r="E236" s="1">
        <v>10</v>
      </c>
      <c r="F236" t="s">
        <v>13</v>
      </c>
      <c r="G236" s="1">
        <v>251000</v>
      </c>
      <c r="H236" s="2">
        <f t="shared" si="3"/>
        <v>251</v>
      </c>
      <c r="I236" s="1" t="s">
        <v>16</v>
      </c>
      <c r="J236">
        <v>0</v>
      </c>
      <c r="K236" s="9">
        <v>0</v>
      </c>
    </row>
    <row r="237" spans="1:11" ht="47.25" customHeight="1">
      <c r="A237">
        <v>236</v>
      </c>
      <c r="B237" s="8">
        <v>45440</v>
      </c>
      <c r="C237" t="s">
        <v>11</v>
      </c>
      <c r="D237" t="s">
        <v>48</v>
      </c>
      <c r="E237" s="1">
        <v>1</v>
      </c>
      <c r="F237" t="s">
        <v>66</v>
      </c>
      <c r="G237" s="1">
        <v>23680</v>
      </c>
      <c r="H237" s="2">
        <f t="shared" si="3"/>
        <v>23.68</v>
      </c>
      <c r="I237" s="1" t="s">
        <v>24</v>
      </c>
      <c r="J237">
        <v>0</v>
      </c>
      <c r="K237" s="9">
        <v>0</v>
      </c>
    </row>
    <row r="238" spans="1:11" ht="37.5" customHeight="1">
      <c r="A238">
        <v>237</v>
      </c>
      <c r="B238" s="8">
        <v>45442</v>
      </c>
      <c r="C238" t="s">
        <v>58</v>
      </c>
      <c r="D238" t="s">
        <v>59</v>
      </c>
      <c r="E238" s="1">
        <v>0</v>
      </c>
      <c r="F238" t="s">
        <v>67</v>
      </c>
      <c r="G238" s="1">
        <v>1500</v>
      </c>
      <c r="H238" s="2">
        <f t="shared" si="3"/>
        <v>1.5</v>
      </c>
      <c r="I238" s="1" t="s">
        <v>47</v>
      </c>
      <c r="J238">
        <v>0</v>
      </c>
      <c r="K238" s="9">
        <v>0</v>
      </c>
    </row>
    <row r="239" spans="1:11" ht="27.75" customHeight="1">
      <c r="A239">
        <v>238</v>
      </c>
      <c r="B239" s="8">
        <v>45455</v>
      </c>
      <c r="C239" t="s">
        <v>11</v>
      </c>
      <c r="D239" t="s">
        <v>48</v>
      </c>
      <c r="E239" s="1">
        <v>2</v>
      </c>
      <c r="F239" t="s">
        <v>13</v>
      </c>
      <c r="G239" s="1">
        <v>50200</v>
      </c>
      <c r="H239" s="2">
        <f t="shared" si="3"/>
        <v>50.2</v>
      </c>
      <c r="I239" s="1" t="s">
        <v>18</v>
      </c>
      <c r="J239">
        <v>0</v>
      </c>
      <c r="K239" s="9">
        <v>0</v>
      </c>
    </row>
    <row r="240" spans="1:11" ht="34.5" customHeight="1">
      <c r="A240">
        <v>239</v>
      </c>
      <c r="B240" s="8">
        <v>45455</v>
      </c>
      <c r="C240" t="s">
        <v>11</v>
      </c>
      <c r="D240" t="s">
        <v>48</v>
      </c>
      <c r="E240" s="1">
        <v>8</v>
      </c>
      <c r="F240" t="s">
        <v>13</v>
      </c>
      <c r="G240" s="1">
        <v>200800</v>
      </c>
      <c r="H240" s="2">
        <f t="shared" si="3"/>
        <v>200.8</v>
      </c>
      <c r="I240" s="1" t="s">
        <v>16</v>
      </c>
      <c r="J240">
        <v>0</v>
      </c>
      <c r="K240" s="9">
        <v>0</v>
      </c>
    </row>
    <row r="241" spans="1:11" ht="24.75" customHeight="1">
      <c r="A241">
        <v>240</v>
      </c>
      <c r="B241" s="8">
        <v>45455</v>
      </c>
      <c r="C241" t="s">
        <v>11</v>
      </c>
      <c r="D241" t="s">
        <v>48</v>
      </c>
      <c r="E241" s="1">
        <v>4</v>
      </c>
      <c r="F241" t="s">
        <v>13</v>
      </c>
      <c r="G241" s="1">
        <v>100400</v>
      </c>
      <c r="H241" s="2">
        <f t="shared" si="3"/>
        <v>100.4</v>
      </c>
      <c r="I241" s="1" t="s">
        <v>41</v>
      </c>
      <c r="J241">
        <v>0</v>
      </c>
      <c r="K241" s="9">
        <v>0</v>
      </c>
    </row>
    <row r="242" spans="1:11" ht="31.5" customHeight="1">
      <c r="A242">
        <v>241</v>
      </c>
      <c r="B242" s="8">
        <v>45469</v>
      </c>
      <c r="C242" t="s">
        <v>11</v>
      </c>
      <c r="D242" t="s">
        <v>48</v>
      </c>
      <c r="E242" s="1">
        <v>3</v>
      </c>
      <c r="F242" t="s">
        <v>13</v>
      </c>
      <c r="G242" s="1">
        <v>75300</v>
      </c>
      <c r="H242" s="2">
        <f t="shared" si="3"/>
        <v>75.3</v>
      </c>
      <c r="I242" s="1" t="s">
        <v>17</v>
      </c>
      <c r="J242">
        <v>0</v>
      </c>
      <c r="K242" s="9">
        <v>0</v>
      </c>
    </row>
    <row r="243" spans="1:11" ht="23.25" customHeight="1">
      <c r="A243">
        <v>242</v>
      </c>
      <c r="B243" s="8">
        <v>45470</v>
      </c>
      <c r="C243" t="s">
        <v>11</v>
      </c>
      <c r="D243" t="s">
        <v>59</v>
      </c>
      <c r="E243" s="1">
        <v>10</v>
      </c>
      <c r="F243" t="s">
        <v>13</v>
      </c>
      <c r="G243" s="1">
        <v>25840</v>
      </c>
      <c r="H243" s="2">
        <f t="shared" si="3"/>
        <v>25.84</v>
      </c>
      <c r="I243" s="1" t="s">
        <v>16</v>
      </c>
      <c r="J243">
        <v>0</v>
      </c>
      <c r="K243" s="9">
        <v>0</v>
      </c>
    </row>
    <row r="244" spans="1:11" ht="26.25" customHeight="1">
      <c r="A244">
        <v>243</v>
      </c>
      <c r="B244" s="8">
        <v>45485</v>
      </c>
      <c r="C244" t="s">
        <v>11</v>
      </c>
      <c r="D244" t="s">
        <v>48</v>
      </c>
      <c r="E244" s="1">
        <v>10</v>
      </c>
      <c r="F244" t="s">
        <v>13</v>
      </c>
      <c r="G244" s="1">
        <v>251000</v>
      </c>
      <c r="H244" s="2">
        <f t="shared" si="3"/>
        <v>251</v>
      </c>
      <c r="I244" s="1" t="s">
        <v>15</v>
      </c>
      <c r="J244">
        <v>0</v>
      </c>
      <c r="K244" s="9">
        <v>0</v>
      </c>
    </row>
    <row r="245" spans="1:11" ht="23.25" customHeight="1">
      <c r="A245">
        <v>244</v>
      </c>
      <c r="B245" s="8">
        <v>45518</v>
      </c>
      <c r="C245" t="s">
        <v>11</v>
      </c>
      <c r="D245" t="s">
        <v>48</v>
      </c>
      <c r="E245" s="1">
        <v>6</v>
      </c>
      <c r="F245" t="s">
        <v>13</v>
      </c>
      <c r="G245" s="1">
        <v>150600</v>
      </c>
      <c r="H245" s="2">
        <f t="shared" si="3"/>
        <v>150.6</v>
      </c>
      <c r="I245" s="1" t="s">
        <v>16</v>
      </c>
      <c r="J245">
        <v>0</v>
      </c>
      <c r="K245" s="9">
        <v>0</v>
      </c>
    </row>
    <row r="246" spans="1:11" ht="19.5" customHeight="1">
      <c r="A246">
        <v>245</v>
      </c>
      <c r="B246" s="8">
        <v>45561</v>
      </c>
      <c r="C246" t="s">
        <v>11</v>
      </c>
      <c r="D246" t="s">
        <v>48</v>
      </c>
      <c r="E246" s="1">
        <v>2</v>
      </c>
      <c r="F246" t="s">
        <v>23</v>
      </c>
      <c r="G246" s="1">
        <v>50040</v>
      </c>
      <c r="H246" s="2">
        <f t="shared" si="3"/>
        <v>50.04</v>
      </c>
      <c r="I246" s="1" t="s">
        <v>24</v>
      </c>
      <c r="J246">
        <v>0</v>
      </c>
      <c r="K246" s="9">
        <v>0</v>
      </c>
    </row>
    <row r="247" spans="1:11" ht="45.75" customHeight="1">
      <c r="A247">
        <v>246</v>
      </c>
      <c r="B247" s="8">
        <v>45625</v>
      </c>
      <c r="C247" t="s">
        <v>11</v>
      </c>
      <c r="D247" t="s">
        <v>48</v>
      </c>
      <c r="E247" s="1">
        <v>1</v>
      </c>
      <c r="F247" t="s">
        <v>68</v>
      </c>
      <c r="G247" s="1">
        <v>9529</v>
      </c>
      <c r="H247" s="2">
        <f t="shared" si="3"/>
        <v>9.5289999999999999</v>
      </c>
      <c r="I247" s="1" t="s">
        <v>24</v>
      </c>
      <c r="J247">
        <v>0</v>
      </c>
      <c r="K247" s="9">
        <v>0</v>
      </c>
    </row>
    <row r="248" spans="1:11" ht="36" customHeight="1">
      <c r="A248">
        <v>247</v>
      </c>
      <c r="B248" s="8">
        <v>45666</v>
      </c>
      <c r="C248" t="s">
        <v>11</v>
      </c>
      <c r="D248" t="s">
        <v>12</v>
      </c>
      <c r="E248" s="1">
        <v>14</v>
      </c>
      <c r="F248" t="s">
        <v>27</v>
      </c>
      <c r="G248" s="1">
        <v>367500</v>
      </c>
      <c r="H248" s="2">
        <f t="shared" si="3"/>
        <v>367.5</v>
      </c>
      <c r="I248" s="1" t="s">
        <v>24</v>
      </c>
      <c r="J248">
        <v>0</v>
      </c>
      <c r="K248" s="9">
        <v>0</v>
      </c>
    </row>
    <row r="249" spans="1:11" ht="36.75" customHeight="1">
      <c r="A249">
        <v>248</v>
      </c>
      <c r="B249" s="8">
        <v>45674</v>
      </c>
      <c r="C249" t="s">
        <v>11</v>
      </c>
      <c r="D249" t="s">
        <v>52</v>
      </c>
      <c r="E249" s="1">
        <v>0</v>
      </c>
      <c r="F249" t="s">
        <v>53</v>
      </c>
      <c r="G249" s="1">
        <v>0</v>
      </c>
      <c r="H249" s="2">
        <f t="shared" si="3"/>
        <v>0</v>
      </c>
      <c r="I249" s="1" t="s">
        <v>38</v>
      </c>
      <c r="J249">
        <v>0</v>
      </c>
      <c r="K249" s="9">
        <v>97500</v>
      </c>
    </row>
    <row r="250" spans="1:11" ht="30" customHeight="1">
      <c r="A250">
        <v>249</v>
      </c>
      <c r="B250" s="8">
        <v>45677</v>
      </c>
      <c r="C250" t="s">
        <v>11</v>
      </c>
      <c r="D250" t="s">
        <v>69</v>
      </c>
      <c r="E250" s="1">
        <v>0</v>
      </c>
      <c r="F250" t="s">
        <v>70</v>
      </c>
      <c r="G250" s="1">
        <v>0</v>
      </c>
      <c r="H250" s="2">
        <f t="shared" si="3"/>
        <v>0</v>
      </c>
      <c r="I250" s="1" t="s">
        <v>71</v>
      </c>
      <c r="J250">
        <v>7500</v>
      </c>
      <c r="K250" s="9">
        <v>0</v>
      </c>
    </row>
    <row r="251" spans="1:11" ht="33.75" customHeight="1">
      <c r="A251">
        <v>250</v>
      </c>
      <c r="B251" s="8">
        <v>45677</v>
      </c>
      <c r="C251" t="s">
        <v>11</v>
      </c>
      <c r="D251" t="s">
        <v>69</v>
      </c>
      <c r="E251" s="1">
        <v>0</v>
      </c>
      <c r="F251" t="s">
        <v>70</v>
      </c>
      <c r="G251" s="1">
        <v>0</v>
      </c>
      <c r="H251" s="2">
        <f t="shared" si="3"/>
        <v>0</v>
      </c>
      <c r="I251" s="1" t="s">
        <v>71</v>
      </c>
      <c r="J251">
        <v>4721</v>
      </c>
      <c r="K251" s="9">
        <v>0</v>
      </c>
    </row>
    <row r="252" spans="1:11" ht="26.25" customHeight="1">
      <c r="A252">
        <v>251</v>
      </c>
      <c r="B252" s="8">
        <v>45677</v>
      </c>
      <c r="C252" t="s">
        <v>11</v>
      </c>
      <c r="D252" t="s">
        <v>69</v>
      </c>
      <c r="E252" s="1">
        <v>0</v>
      </c>
      <c r="F252" t="s">
        <v>70</v>
      </c>
      <c r="G252" s="1">
        <v>0</v>
      </c>
      <c r="H252" s="2">
        <f t="shared" si="3"/>
        <v>0</v>
      </c>
      <c r="I252" s="1" t="s">
        <v>71</v>
      </c>
      <c r="J252">
        <v>7500</v>
      </c>
      <c r="K252" s="9">
        <v>0</v>
      </c>
    </row>
    <row r="253" spans="1:11" ht="22.5" customHeight="1">
      <c r="A253">
        <v>252</v>
      </c>
      <c r="B253" s="8">
        <v>45677</v>
      </c>
      <c r="C253" t="s">
        <v>11</v>
      </c>
      <c r="D253" t="s">
        <v>69</v>
      </c>
      <c r="E253" s="1">
        <v>0</v>
      </c>
      <c r="F253" t="s">
        <v>70</v>
      </c>
      <c r="G253" s="1">
        <v>0</v>
      </c>
      <c r="H253" s="2">
        <f t="shared" si="3"/>
        <v>0</v>
      </c>
      <c r="I253" s="1" t="s">
        <v>71</v>
      </c>
      <c r="J253">
        <v>7500</v>
      </c>
      <c r="K253" s="9">
        <v>0</v>
      </c>
    </row>
    <row r="254" spans="1:11" ht="29.25" customHeight="1">
      <c r="A254">
        <v>253</v>
      </c>
      <c r="B254" s="8">
        <v>45677</v>
      </c>
      <c r="C254" t="s">
        <v>11</v>
      </c>
      <c r="D254" t="s">
        <v>69</v>
      </c>
      <c r="E254" s="1">
        <v>0</v>
      </c>
      <c r="F254" t="s">
        <v>70</v>
      </c>
      <c r="G254" s="1">
        <v>0</v>
      </c>
      <c r="H254" s="2">
        <f t="shared" si="3"/>
        <v>0</v>
      </c>
      <c r="I254" s="1" t="s">
        <v>71</v>
      </c>
      <c r="J254">
        <v>7500</v>
      </c>
      <c r="K254" s="9">
        <v>0</v>
      </c>
    </row>
    <row r="255" spans="1:11" ht="18" customHeight="1">
      <c r="A255">
        <v>254</v>
      </c>
      <c r="B255" s="8">
        <v>45677</v>
      </c>
      <c r="C255" t="s">
        <v>11</v>
      </c>
      <c r="D255" t="s">
        <v>69</v>
      </c>
      <c r="E255" s="1">
        <v>0</v>
      </c>
      <c r="F255" t="s">
        <v>70</v>
      </c>
      <c r="G255" s="1">
        <v>0</v>
      </c>
      <c r="H255" s="2">
        <f t="shared" si="3"/>
        <v>0</v>
      </c>
      <c r="I255" s="1" t="s">
        <v>71</v>
      </c>
      <c r="J255">
        <v>7500</v>
      </c>
      <c r="K255" s="9">
        <v>0</v>
      </c>
    </row>
    <row r="256" spans="1:11" ht="32.25" customHeight="1">
      <c r="A256">
        <v>255</v>
      </c>
      <c r="B256" s="8">
        <v>45677</v>
      </c>
      <c r="C256" t="s">
        <v>11</v>
      </c>
      <c r="D256" t="s">
        <v>69</v>
      </c>
      <c r="E256" s="1">
        <v>0</v>
      </c>
      <c r="F256" t="s">
        <v>70</v>
      </c>
      <c r="G256" s="1">
        <v>0</v>
      </c>
      <c r="H256" s="2">
        <f t="shared" si="3"/>
        <v>0</v>
      </c>
      <c r="I256" s="1" t="s">
        <v>71</v>
      </c>
      <c r="J256">
        <v>7500</v>
      </c>
      <c r="K256" s="9">
        <v>0</v>
      </c>
    </row>
    <row r="257" spans="1:11" ht="24" customHeight="1">
      <c r="A257">
        <v>256</v>
      </c>
      <c r="B257" s="8">
        <v>45677</v>
      </c>
      <c r="C257" t="s">
        <v>11</v>
      </c>
      <c r="D257" t="s">
        <v>69</v>
      </c>
      <c r="E257" s="1">
        <v>0</v>
      </c>
      <c r="F257" t="s">
        <v>70</v>
      </c>
      <c r="G257" s="1">
        <v>0</v>
      </c>
      <c r="H257" s="2">
        <f t="shared" si="3"/>
        <v>0</v>
      </c>
      <c r="I257" s="1" t="s">
        <v>71</v>
      </c>
      <c r="J257">
        <v>6000</v>
      </c>
      <c r="K257" s="9">
        <v>0</v>
      </c>
    </row>
    <row r="258" spans="1:11" ht="33" customHeight="1">
      <c r="A258">
        <v>257</v>
      </c>
      <c r="B258" s="8">
        <v>45677</v>
      </c>
      <c r="C258" t="s">
        <v>11</v>
      </c>
      <c r="D258" t="s">
        <v>69</v>
      </c>
      <c r="E258" s="1">
        <v>0</v>
      </c>
      <c r="F258" t="s">
        <v>70</v>
      </c>
      <c r="G258" s="1">
        <v>0</v>
      </c>
      <c r="H258" s="2">
        <f t="shared" ref="H258:H321" si="4">G258/1000</f>
        <v>0</v>
      </c>
      <c r="I258" s="1" t="s">
        <v>71</v>
      </c>
      <c r="J258">
        <v>3600</v>
      </c>
      <c r="K258" s="9">
        <v>0</v>
      </c>
    </row>
    <row r="259" spans="1:11" ht="18.75" customHeight="1">
      <c r="A259">
        <v>258</v>
      </c>
      <c r="B259" s="8">
        <v>45677</v>
      </c>
      <c r="C259" t="s">
        <v>11</v>
      </c>
      <c r="D259" t="s">
        <v>52</v>
      </c>
      <c r="E259" s="1">
        <v>0</v>
      </c>
      <c r="F259" t="s">
        <v>53</v>
      </c>
      <c r="G259" s="1">
        <v>0</v>
      </c>
      <c r="H259" s="2">
        <f t="shared" si="4"/>
        <v>0</v>
      </c>
      <c r="I259" s="1" t="s">
        <v>38</v>
      </c>
      <c r="J259">
        <v>0</v>
      </c>
      <c r="K259" s="9">
        <v>97500</v>
      </c>
    </row>
    <row r="260" spans="1:11" ht="28.5" customHeight="1">
      <c r="A260">
        <v>259</v>
      </c>
      <c r="B260" s="8">
        <v>45678</v>
      </c>
      <c r="C260" t="s">
        <v>11</v>
      </c>
      <c r="D260" t="s">
        <v>52</v>
      </c>
      <c r="E260" s="1">
        <v>0</v>
      </c>
      <c r="F260" t="s">
        <v>53</v>
      </c>
      <c r="G260" s="1">
        <v>0</v>
      </c>
      <c r="H260" s="2">
        <f t="shared" si="4"/>
        <v>0</v>
      </c>
      <c r="I260" s="1" t="s">
        <v>38</v>
      </c>
      <c r="J260">
        <v>0</v>
      </c>
      <c r="K260" s="9">
        <v>97500</v>
      </c>
    </row>
    <row r="261" spans="1:11" ht="18.75" customHeight="1">
      <c r="A261">
        <v>260</v>
      </c>
      <c r="B261" s="8">
        <v>45679</v>
      </c>
      <c r="C261" t="s">
        <v>11</v>
      </c>
      <c r="D261" t="s">
        <v>52</v>
      </c>
      <c r="E261" s="1">
        <v>0</v>
      </c>
      <c r="F261" t="s">
        <v>53</v>
      </c>
      <c r="G261" s="1">
        <v>0</v>
      </c>
      <c r="H261" s="2">
        <f t="shared" si="4"/>
        <v>0</v>
      </c>
      <c r="I261" s="1" t="s">
        <v>38</v>
      </c>
      <c r="J261">
        <v>0</v>
      </c>
      <c r="K261" s="9">
        <v>97500</v>
      </c>
    </row>
    <row r="262" spans="1:11">
      <c r="A262">
        <v>261</v>
      </c>
      <c r="B262" s="8">
        <v>45680</v>
      </c>
      <c r="C262" t="s">
        <v>11</v>
      </c>
      <c r="D262" t="s">
        <v>12</v>
      </c>
      <c r="E262" s="1">
        <v>6</v>
      </c>
      <c r="F262" t="s">
        <v>27</v>
      </c>
      <c r="G262" s="1">
        <v>140000</v>
      </c>
      <c r="H262" s="2">
        <f t="shared" si="4"/>
        <v>140</v>
      </c>
      <c r="I262" s="1" t="s">
        <v>24</v>
      </c>
      <c r="J262">
        <v>0</v>
      </c>
      <c r="K262" s="9">
        <v>0</v>
      </c>
    </row>
    <row r="263" spans="1:11">
      <c r="A263">
        <v>262</v>
      </c>
      <c r="B263" s="8">
        <v>45681</v>
      </c>
      <c r="C263" t="s">
        <v>11</v>
      </c>
      <c r="D263" t="s">
        <v>52</v>
      </c>
      <c r="E263" s="1">
        <v>0</v>
      </c>
      <c r="F263" t="s">
        <v>53</v>
      </c>
      <c r="G263" s="1">
        <v>0</v>
      </c>
      <c r="H263" s="2">
        <f t="shared" si="4"/>
        <v>0</v>
      </c>
      <c r="I263" s="1" t="s">
        <v>38</v>
      </c>
      <c r="J263">
        <v>0</v>
      </c>
      <c r="K263" s="9">
        <v>97500</v>
      </c>
    </row>
    <row r="264" spans="1:11">
      <c r="A264">
        <v>263</v>
      </c>
      <c r="B264" s="8">
        <v>45702</v>
      </c>
      <c r="C264" t="s">
        <v>11</v>
      </c>
      <c r="D264" t="s">
        <v>48</v>
      </c>
      <c r="E264" s="1">
        <v>2</v>
      </c>
      <c r="F264" t="s">
        <v>23</v>
      </c>
      <c r="G264" s="1">
        <v>44760</v>
      </c>
      <c r="H264" s="2">
        <f t="shared" si="4"/>
        <v>44.76</v>
      </c>
      <c r="I264" s="1" t="s">
        <v>24</v>
      </c>
      <c r="J264">
        <v>0</v>
      </c>
      <c r="K264" s="9">
        <v>0</v>
      </c>
    </row>
    <row r="265" spans="1:11">
      <c r="A265">
        <v>264</v>
      </c>
      <c r="B265" s="8">
        <v>45702</v>
      </c>
      <c r="C265" t="s">
        <v>11</v>
      </c>
      <c r="D265" t="s">
        <v>48</v>
      </c>
      <c r="E265" s="1">
        <v>1</v>
      </c>
      <c r="F265" t="s">
        <v>13</v>
      </c>
      <c r="G265" s="1">
        <v>25140</v>
      </c>
      <c r="H265" s="2">
        <f t="shared" si="4"/>
        <v>25.14</v>
      </c>
      <c r="I265" s="1" t="s">
        <v>24</v>
      </c>
      <c r="J265">
        <v>0</v>
      </c>
      <c r="K265" s="9">
        <v>0</v>
      </c>
    </row>
    <row r="266" spans="1:11">
      <c r="A266">
        <v>265</v>
      </c>
      <c r="B266" s="8">
        <v>45727</v>
      </c>
      <c r="C266" t="s">
        <v>11</v>
      </c>
      <c r="D266" t="s">
        <v>48</v>
      </c>
      <c r="E266" s="1">
        <v>2</v>
      </c>
      <c r="F266" t="s">
        <v>23</v>
      </c>
      <c r="G266" s="1">
        <v>44360</v>
      </c>
      <c r="H266" s="2">
        <f t="shared" si="4"/>
        <v>44.36</v>
      </c>
      <c r="I266" s="1" t="s">
        <v>24</v>
      </c>
      <c r="J266">
        <v>0</v>
      </c>
      <c r="K266" s="9">
        <v>44360</v>
      </c>
    </row>
    <row r="267" spans="1:11">
      <c r="A267">
        <v>266</v>
      </c>
      <c r="B267" s="8">
        <v>45735</v>
      </c>
      <c r="C267" t="s">
        <v>11</v>
      </c>
      <c r="D267" t="s">
        <v>12</v>
      </c>
      <c r="E267" s="1">
        <v>3</v>
      </c>
      <c r="F267" t="s">
        <v>27</v>
      </c>
      <c r="G267" s="1">
        <v>70000</v>
      </c>
      <c r="H267" s="2">
        <f t="shared" si="4"/>
        <v>70</v>
      </c>
      <c r="I267" s="1" t="s">
        <v>24</v>
      </c>
      <c r="J267">
        <v>0</v>
      </c>
      <c r="K267" s="9">
        <v>0</v>
      </c>
    </row>
    <row r="268" spans="1:11" ht="22.5" customHeight="1">
      <c r="A268">
        <v>267</v>
      </c>
      <c r="B268" s="8">
        <v>45737</v>
      </c>
      <c r="C268" t="s">
        <v>11</v>
      </c>
      <c r="D268" t="s">
        <v>48</v>
      </c>
      <c r="E268" s="1">
        <v>1</v>
      </c>
      <c r="F268" t="s">
        <v>13</v>
      </c>
      <c r="G268" s="1">
        <v>25140</v>
      </c>
      <c r="H268" s="2">
        <f t="shared" si="4"/>
        <v>25.14</v>
      </c>
      <c r="I268" s="1" t="s">
        <v>22</v>
      </c>
      <c r="J268">
        <v>0</v>
      </c>
      <c r="K268" s="9">
        <v>0</v>
      </c>
    </row>
    <row r="269" spans="1:11" ht="21.75" customHeight="1">
      <c r="A269">
        <v>268</v>
      </c>
      <c r="B269" s="8">
        <v>45742</v>
      </c>
      <c r="C269" t="s">
        <v>11</v>
      </c>
      <c r="D269" t="s">
        <v>48</v>
      </c>
      <c r="E269" s="1">
        <v>3</v>
      </c>
      <c r="F269" t="s">
        <v>13</v>
      </c>
      <c r="G269" s="1">
        <v>75000</v>
      </c>
      <c r="H269" s="2">
        <f t="shared" si="4"/>
        <v>75</v>
      </c>
      <c r="I269" s="1" t="s">
        <v>17</v>
      </c>
      <c r="J269">
        <v>0</v>
      </c>
      <c r="K269" s="9">
        <v>0</v>
      </c>
    </row>
    <row r="270" spans="1:11" ht="29.25" customHeight="1">
      <c r="A270">
        <v>269</v>
      </c>
      <c r="B270" s="8">
        <v>45749</v>
      </c>
      <c r="C270" t="s">
        <v>11</v>
      </c>
      <c r="D270" t="s">
        <v>48</v>
      </c>
      <c r="E270" s="1">
        <v>1</v>
      </c>
      <c r="F270" t="s">
        <v>13</v>
      </c>
      <c r="G270" s="1">
        <v>25000</v>
      </c>
      <c r="H270" s="2">
        <f t="shared" si="4"/>
        <v>25</v>
      </c>
      <c r="I270" s="1" t="s">
        <v>41</v>
      </c>
      <c r="J270">
        <v>0</v>
      </c>
      <c r="K270" s="9">
        <v>0</v>
      </c>
    </row>
    <row r="271" spans="1:11" ht="22.5" customHeight="1">
      <c r="A271">
        <v>270</v>
      </c>
      <c r="B271" s="8">
        <v>45749</v>
      </c>
      <c r="C271" t="s">
        <v>11</v>
      </c>
      <c r="D271" t="s">
        <v>48</v>
      </c>
      <c r="E271" s="1">
        <v>5</v>
      </c>
      <c r="F271" t="s">
        <v>13</v>
      </c>
      <c r="G271" s="1">
        <v>125000</v>
      </c>
      <c r="H271" s="2">
        <f t="shared" si="4"/>
        <v>125</v>
      </c>
      <c r="I271" s="1" t="s">
        <v>20</v>
      </c>
      <c r="J271">
        <v>0</v>
      </c>
      <c r="K271" s="9">
        <v>0</v>
      </c>
    </row>
    <row r="272" spans="1:11" ht="33.75" customHeight="1">
      <c r="A272">
        <v>271</v>
      </c>
      <c r="B272" s="8">
        <v>45749</v>
      </c>
      <c r="C272" t="s">
        <v>11</v>
      </c>
      <c r="D272" t="s">
        <v>48</v>
      </c>
      <c r="E272" s="1">
        <v>2</v>
      </c>
      <c r="F272" t="s">
        <v>13</v>
      </c>
      <c r="G272" s="1">
        <v>43000</v>
      </c>
      <c r="H272" s="2">
        <f t="shared" si="4"/>
        <v>43</v>
      </c>
      <c r="I272" s="1" t="s">
        <v>39</v>
      </c>
      <c r="J272">
        <v>0</v>
      </c>
      <c r="K272" s="9">
        <v>0</v>
      </c>
    </row>
    <row r="273" spans="1:11">
      <c r="A273">
        <v>272</v>
      </c>
      <c r="B273" s="8">
        <v>45750</v>
      </c>
      <c r="C273" t="s">
        <v>11</v>
      </c>
      <c r="D273" t="s">
        <v>12</v>
      </c>
      <c r="E273" s="1">
        <v>3</v>
      </c>
      <c r="F273" t="s">
        <v>27</v>
      </c>
      <c r="G273" s="1">
        <v>70000</v>
      </c>
      <c r="H273" s="2">
        <f t="shared" si="4"/>
        <v>70</v>
      </c>
      <c r="I273" s="1" t="s">
        <v>24</v>
      </c>
      <c r="J273">
        <v>0</v>
      </c>
      <c r="K273" s="9">
        <v>0</v>
      </c>
    </row>
    <row r="274" spans="1:11" ht="27.75" customHeight="1">
      <c r="A274">
        <v>273</v>
      </c>
      <c r="B274" s="8">
        <v>45755</v>
      </c>
      <c r="C274" t="s">
        <v>11</v>
      </c>
      <c r="D274" t="s">
        <v>48</v>
      </c>
      <c r="E274" s="1">
        <v>5</v>
      </c>
      <c r="F274" t="s">
        <v>13</v>
      </c>
      <c r="G274" s="1">
        <v>125000</v>
      </c>
      <c r="H274" s="2">
        <f t="shared" si="4"/>
        <v>125</v>
      </c>
      <c r="I274" s="1" t="s">
        <v>16</v>
      </c>
      <c r="J274">
        <v>0</v>
      </c>
      <c r="K274" s="9">
        <v>0</v>
      </c>
    </row>
    <row r="275" spans="1:11">
      <c r="A275">
        <v>274</v>
      </c>
      <c r="B275" s="8">
        <v>45756</v>
      </c>
      <c r="C275" t="s">
        <v>11</v>
      </c>
      <c r="D275" t="s">
        <v>12</v>
      </c>
      <c r="E275" s="1">
        <v>3</v>
      </c>
      <c r="F275" t="s">
        <v>27</v>
      </c>
      <c r="G275" s="1">
        <v>70000</v>
      </c>
      <c r="H275" s="2">
        <f t="shared" si="4"/>
        <v>70</v>
      </c>
      <c r="I275" s="1" t="s">
        <v>24</v>
      </c>
      <c r="J275">
        <v>0</v>
      </c>
      <c r="K275" s="9">
        <v>0</v>
      </c>
    </row>
    <row r="276" spans="1:11" ht="19.5" customHeight="1">
      <c r="A276">
        <v>275</v>
      </c>
      <c r="B276" s="8">
        <v>45762</v>
      </c>
      <c r="C276" t="s">
        <v>11</v>
      </c>
      <c r="D276" t="s">
        <v>48</v>
      </c>
      <c r="E276" s="1">
        <v>10</v>
      </c>
      <c r="F276" t="s">
        <v>13</v>
      </c>
      <c r="G276" s="1">
        <v>250000</v>
      </c>
      <c r="H276" s="2">
        <f t="shared" si="4"/>
        <v>250</v>
      </c>
      <c r="I276" s="1" t="s">
        <v>16</v>
      </c>
      <c r="J276">
        <v>0</v>
      </c>
      <c r="K276" s="9">
        <v>0</v>
      </c>
    </row>
    <row r="277" spans="1:11" ht="30" customHeight="1">
      <c r="A277">
        <v>276</v>
      </c>
      <c r="B277" s="8">
        <v>45762</v>
      </c>
      <c r="C277" t="s">
        <v>11</v>
      </c>
      <c r="D277" t="s">
        <v>12</v>
      </c>
      <c r="E277" s="1">
        <v>1</v>
      </c>
      <c r="F277" t="s">
        <v>54</v>
      </c>
      <c r="G277" s="1">
        <v>9000</v>
      </c>
      <c r="H277" s="2">
        <f t="shared" si="4"/>
        <v>9</v>
      </c>
      <c r="I277" s="1" t="s">
        <v>24</v>
      </c>
      <c r="J277">
        <v>0</v>
      </c>
      <c r="K277" s="9">
        <v>0</v>
      </c>
    </row>
    <row r="278" spans="1:11">
      <c r="A278">
        <v>277</v>
      </c>
      <c r="B278" s="8">
        <v>45771</v>
      </c>
      <c r="C278" t="s">
        <v>11</v>
      </c>
      <c r="D278" t="s">
        <v>12</v>
      </c>
      <c r="E278" s="1">
        <v>1</v>
      </c>
      <c r="F278" t="s">
        <v>27</v>
      </c>
      <c r="G278" s="1">
        <v>19200</v>
      </c>
      <c r="H278" s="2">
        <f t="shared" si="4"/>
        <v>19.2</v>
      </c>
      <c r="I278" s="1" t="s">
        <v>40</v>
      </c>
      <c r="J278">
        <v>0</v>
      </c>
      <c r="K278" s="9">
        <v>0</v>
      </c>
    </row>
    <row r="279" spans="1:11" ht="26.25" customHeight="1">
      <c r="A279">
        <v>278</v>
      </c>
      <c r="B279" s="8">
        <v>45771</v>
      </c>
      <c r="C279" t="s">
        <v>11</v>
      </c>
      <c r="D279" t="s">
        <v>48</v>
      </c>
      <c r="E279" s="1">
        <v>10</v>
      </c>
      <c r="F279" t="s">
        <v>13</v>
      </c>
      <c r="G279" s="1">
        <v>250000</v>
      </c>
      <c r="H279" s="2">
        <f t="shared" si="4"/>
        <v>250</v>
      </c>
      <c r="I279" s="1" t="s">
        <v>16</v>
      </c>
      <c r="J279">
        <v>0</v>
      </c>
      <c r="K279" s="9">
        <v>0</v>
      </c>
    </row>
    <row r="280" spans="1:11">
      <c r="A280">
        <v>279</v>
      </c>
      <c r="B280" s="8">
        <v>45772</v>
      </c>
      <c r="C280" t="s">
        <v>11</v>
      </c>
      <c r="D280" t="s">
        <v>12</v>
      </c>
      <c r="E280" s="1">
        <v>6</v>
      </c>
      <c r="F280" t="s">
        <v>27</v>
      </c>
      <c r="G280" s="1">
        <v>140000</v>
      </c>
      <c r="H280" s="2">
        <f t="shared" si="4"/>
        <v>140</v>
      </c>
      <c r="I280" s="1" t="s">
        <v>24</v>
      </c>
      <c r="J280">
        <v>0</v>
      </c>
      <c r="K280" s="9">
        <v>0</v>
      </c>
    </row>
    <row r="281" spans="1:11" ht="19.5" customHeight="1">
      <c r="A281">
        <v>280</v>
      </c>
      <c r="B281" s="8">
        <v>45784</v>
      </c>
      <c r="C281" t="s">
        <v>11</v>
      </c>
      <c r="D281" t="s">
        <v>48</v>
      </c>
      <c r="E281" s="1">
        <v>5</v>
      </c>
      <c r="F281" t="s">
        <v>13</v>
      </c>
      <c r="G281" s="1">
        <v>125000</v>
      </c>
      <c r="H281" s="2">
        <f t="shared" si="4"/>
        <v>125</v>
      </c>
      <c r="I281" s="1" t="s">
        <v>16</v>
      </c>
      <c r="J281">
        <v>0</v>
      </c>
      <c r="K281" s="9">
        <v>0</v>
      </c>
    </row>
    <row r="282" spans="1:11">
      <c r="A282">
        <v>281</v>
      </c>
      <c r="B282" s="8">
        <v>45791</v>
      </c>
      <c r="C282" t="s">
        <v>11</v>
      </c>
      <c r="D282" t="s">
        <v>12</v>
      </c>
      <c r="E282" s="1">
        <v>1</v>
      </c>
      <c r="F282" t="s">
        <v>27</v>
      </c>
      <c r="G282" s="1">
        <v>19250</v>
      </c>
      <c r="H282" s="2">
        <f t="shared" si="4"/>
        <v>19.25</v>
      </c>
      <c r="I282" s="1" t="s">
        <v>24</v>
      </c>
      <c r="J282">
        <v>0</v>
      </c>
      <c r="K282" s="9">
        <v>0</v>
      </c>
    </row>
    <row r="283" spans="1:11" ht="22.5" customHeight="1">
      <c r="A283">
        <v>282</v>
      </c>
      <c r="B283" s="8">
        <v>45792</v>
      </c>
      <c r="C283" t="s">
        <v>11</v>
      </c>
      <c r="D283" t="s">
        <v>48</v>
      </c>
      <c r="E283" s="1">
        <v>1</v>
      </c>
      <c r="F283" t="s">
        <v>13</v>
      </c>
      <c r="G283" s="1">
        <v>25000</v>
      </c>
      <c r="H283" s="2">
        <f t="shared" si="4"/>
        <v>25</v>
      </c>
      <c r="I283" s="1" t="s">
        <v>17</v>
      </c>
      <c r="J283">
        <v>0</v>
      </c>
      <c r="K283" s="9">
        <v>0</v>
      </c>
    </row>
    <row r="284" spans="1:11" ht="24.75" customHeight="1">
      <c r="A284">
        <v>283</v>
      </c>
      <c r="B284" s="8">
        <v>45792</v>
      </c>
      <c r="C284" t="s">
        <v>11</v>
      </c>
      <c r="D284" t="s">
        <v>48</v>
      </c>
      <c r="E284" s="1">
        <v>6</v>
      </c>
      <c r="F284" t="s">
        <v>13</v>
      </c>
      <c r="G284" s="1">
        <v>150000</v>
      </c>
      <c r="H284" s="2">
        <f t="shared" si="4"/>
        <v>150</v>
      </c>
      <c r="I284" s="1" t="s">
        <v>15</v>
      </c>
      <c r="J284">
        <v>0</v>
      </c>
      <c r="K284" s="9">
        <v>0</v>
      </c>
    </row>
    <row r="285" spans="1:11" ht="24" customHeight="1">
      <c r="A285">
        <v>284</v>
      </c>
      <c r="B285" s="8">
        <v>45792</v>
      </c>
      <c r="C285" t="s">
        <v>11</v>
      </c>
      <c r="D285" t="s">
        <v>48</v>
      </c>
      <c r="E285" s="1">
        <v>3</v>
      </c>
      <c r="F285" t="s">
        <v>13</v>
      </c>
      <c r="G285" s="1">
        <v>75000</v>
      </c>
      <c r="H285" s="2">
        <f t="shared" si="4"/>
        <v>75</v>
      </c>
      <c r="I285" s="1" t="s">
        <v>14</v>
      </c>
      <c r="J285">
        <v>0</v>
      </c>
      <c r="K285" s="9">
        <v>0</v>
      </c>
    </row>
    <row r="286" spans="1:11">
      <c r="A286">
        <v>285</v>
      </c>
      <c r="B286" s="8">
        <v>45793</v>
      </c>
      <c r="C286" t="s">
        <v>11</v>
      </c>
      <c r="D286" t="s">
        <v>12</v>
      </c>
      <c r="E286" s="1">
        <v>3</v>
      </c>
      <c r="F286" t="s">
        <v>27</v>
      </c>
      <c r="G286" s="1">
        <v>70000</v>
      </c>
      <c r="H286" s="2">
        <f t="shared" si="4"/>
        <v>70</v>
      </c>
      <c r="I286" s="1" t="s">
        <v>24</v>
      </c>
      <c r="J286">
        <v>0</v>
      </c>
      <c r="K286" s="9">
        <v>0</v>
      </c>
    </row>
    <row r="287" spans="1:11" ht="23.25" customHeight="1">
      <c r="A287">
        <v>286</v>
      </c>
      <c r="B287" s="8">
        <v>45798</v>
      </c>
      <c r="C287" t="s">
        <v>11</v>
      </c>
      <c r="D287" t="s">
        <v>48</v>
      </c>
      <c r="E287" s="1">
        <v>3</v>
      </c>
      <c r="F287" t="s">
        <v>13</v>
      </c>
      <c r="G287" s="1">
        <v>75000</v>
      </c>
      <c r="H287" s="2">
        <f t="shared" si="4"/>
        <v>75</v>
      </c>
      <c r="I287" s="1" t="s">
        <v>16</v>
      </c>
      <c r="J287">
        <v>0</v>
      </c>
      <c r="K287" s="9">
        <v>0</v>
      </c>
    </row>
    <row r="288" spans="1:11" ht="27.75" customHeight="1">
      <c r="A288">
        <v>287</v>
      </c>
      <c r="B288" s="8">
        <v>45806</v>
      </c>
      <c r="C288" t="s">
        <v>11</v>
      </c>
      <c r="D288" t="s">
        <v>69</v>
      </c>
      <c r="E288" s="1">
        <v>0</v>
      </c>
      <c r="F288" t="s">
        <v>70</v>
      </c>
      <c r="G288" s="1">
        <v>0</v>
      </c>
      <c r="H288" s="2">
        <f t="shared" si="4"/>
        <v>0</v>
      </c>
      <c r="I288" s="1" t="s">
        <v>71</v>
      </c>
      <c r="J288">
        <v>7500</v>
      </c>
      <c r="K288" s="9">
        <v>0</v>
      </c>
    </row>
    <row r="289" spans="1:11" ht="14.25" customHeight="1">
      <c r="A289">
        <v>288</v>
      </c>
      <c r="B289" s="8">
        <v>45806</v>
      </c>
      <c r="C289" t="s">
        <v>11</v>
      </c>
      <c r="D289" t="s">
        <v>69</v>
      </c>
      <c r="E289" s="1">
        <v>0</v>
      </c>
      <c r="F289" t="s">
        <v>70</v>
      </c>
      <c r="G289" s="1">
        <v>0</v>
      </c>
      <c r="H289" s="2">
        <f t="shared" si="4"/>
        <v>0</v>
      </c>
      <c r="I289" s="1" t="s">
        <v>71</v>
      </c>
      <c r="J289">
        <v>7500</v>
      </c>
      <c r="K289" s="9">
        <v>0</v>
      </c>
    </row>
    <row r="290" spans="1:11" ht="32.25" customHeight="1">
      <c r="A290">
        <v>289</v>
      </c>
      <c r="B290" s="8">
        <v>45806</v>
      </c>
      <c r="C290" t="s">
        <v>11</v>
      </c>
      <c r="D290" t="s">
        <v>69</v>
      </c>
      <c r="E290" s="1">
        <v>0</v>
      </c>
      <c r="F290" t="s">
        <v>70</v>
      </c>
      <c r="G290" s="1">
        <v>0</v>
      </c>
      <c r="H290" s="2">
        <f t="shared" si="4"/>
        <v>0</v>
      </c>
      <c r="I290" s="1" t="s">
        <v>71</v>
      </c>
      <c r="J290">
        <v>7500</v>
      </c>
      <c r="K290" s="9">
        <v>0</v>
      </c>
    </row>
    <row r="291" spans="1:11" ht="34.5" customHeight="1">
      <c r="A291">
        <v>290</v>
      </c>
      <c r="B291" s="8">
        <v>45810</v>
      </c>
      <c r="C291" t="s">
        <v>11</v>
      </c>
      <c r="D291" t="s">
        <v>69</v>
      </c>
      <c r="E291" s="1">
        <v>0</v>
      </c>
      <c r="F291" t="s">
        <v>70</v>
      </c>
      <c r="G291" s="1">
        <v>0</v>
      </c>
      <c r="H291" s="2">
        <f t="shared" si="4"/>
        <v>0</v>
      </c>
      <c r="I291" s="1" t="s">
        <v>71</v>
      </c>
      <c r="J291">
        <v>7500</v>
      </c>
      <c r="K291" s="9">
        <v>0</v>
      </c>
    </row>
    <row r="292" spans="1:11" ht="26.25" customHeight="1">
      <c r="A292">
        <v>291</v>
      </c>
      <c r="B292" s="8">
        <v>45810</v>
      </c>
      <c r="C292" t="s">
        <v>11</v>
      </c>
      <c r="D292" t="s">
        <v>69</v>
      </c>
      <c r="E292" s="1">
        <v>0</v>
      </c>
      <c r="F292" t="s">
        <v>70</v>
      </c>
      <c r="G292" s="1">
        <v>0</v>
      </c>
      <c r="H292" s="2">
        <f t="shared" si="4"/>
        <v>0</v>
      </c>
      <c r="I292" s="1" t="s">
        <v>71</v>
      </c>
      <c r="J292">
        <v>7500</v>
      </c>
      <c r="K292" s="9">
        <v>0</v>
      </c>
    </row>
    <row r="293" spans="1:11" ht="34.5" customHeight="1">
      <c r="A293">
        <v>292</v>
      </c>
      <c r="B293" s="8">
        <v>45810</v>
      </c>
      <c r="C293" t="s">
        <v>11</v>
      </c>
      <c r="D293" t="s">
        <v>69</v>
      </c>
      <c r="E293" s="1">
        <v>0</v>
      </c>
      <c r="F293" t="s">
        <v>70</v>
      </c>
      <c r="G293" s="1">
        <v>0</v>
      </c>
      <c r="H293" s="2">
        <f t="shared" si="4"/>
        <v>0</v>
      </c>
      <c r="I293" s="1" t="s">
        <v>71</v>
      </c>
      <c r="J293">
        <v>7500</v>
      </c>
      <c r="K293" s="9">
        <v>0</v>
      </c>
    </row>
    <row r="294" spans="1:11" ht="34.5" customHeight="1">
      <c r="A294">
        <v>293</v>
      </c>
      <c r="B294" s="8">
        <v>45811</v>
      </c>
      <c r="C294" t="s">
        <v>11</v>
      </c>
      <c r="D294" t="s">
        <v>69</v>
      </c>
      <c r="E294" s="1">
        <v>0</v>
      </c>
      <c r="F294" t="s">
        <v>70</v>
      </c>
      <c r="G294" s="1">
        <v>0</v>
      </c>
      <c r="H294" s="2">
        <f t="shared" si="4"/>
        <v>0</v>
      </c>
      <c r="I294" s="1" t="s">
        <v>71</v>
      </c>
      <c r="J294">
        <v>7500</v>
      </c>
      <c r="K294" s="9">
        <v>0</v>
      </c>
    </row>
    <row r="295" spans="1:11" ht="27" customHeight="1">
      <c r="A295">
        <v>294</v>
      </c>
      <c r="B295" s="8">
        <v>45811</v>
      </c>
      <c r="C295" t="s">
        <v>11</v>
      </c>
      <c r="D295" t="s">
        <v>69</v>
      </c>
      <c r="E295" s="1">
        <v>0</v>
      </c>
      <c r="F295" t="s">
        <v>70</v>
      </c>
      <c r="G295" s="1">
        <v>0</v>
      </c>
      <c r="H295" s="2">
        <f t="shared" si="4"/>
        <v>0</v>
      </c>
      <c r="I295" s="1" t="s">
        <v>71</v>
      </c>
      <c r="J295">
        <v>3000</v>
      </c>
      <c r="K295" s="9">
        <v>0</v>
      </c>
    </row>
    <row r="296" spans="1:11" ht="19.5" customHeight="1">
      <c r="A296">
        <v>295</v>
      </c>
      <c r="B296" s="8">
        <v>45811</v>
      </c>
      <c r="C296" t="s">
        <v>11</v>
      </c>
      <c r="D296" t="s">
        <v>69</v>
      </c>
      <c r="E296" s="1">
        <v>0</v>
      </c>
      <c r="F296" t="s">
        <v>70</v>
      </c>
      <c r="G296" s="1">
        <v>0</v>
      </c>
      <c r="H296" s="2">
        <f t="shared" si="4"/>
        <v>0</v>
      </c>
      <c r="I296" s="1" t="s">
        <v>71</v>
      </c>
      <c r="J296">
        <v>4246</v>
      </c>
      <c r="K296" s="9">
        <v>0</v>
      </c>
    </row>
    <row r="297" spans="1:11" ht="15" customHeight="1">
      <c r="A297">
        <v>296</v>
      </c>
      <c r="B297" s="10">
        <v>45813</v>
      </c>
      <c r="C297" t="s">
        <v>11</v>
      </c>
      <c r="D297" t="s">
        <v>12</v>
      </c>
      <c r="E297" s="1">
        <v>6</v>
      </c>
      <c r="F297" t="s">
        <v>27</v>
      </c>
      <c r="G297" s="1">
        <v>140000</v>
      </c>
      <c r="H297" s="2">
        <f t="shared" si="4"/>
        <v>140</v>
      </c>
      <c r="I297" s="1" t="s">
        <v>24</v>
      </c>
      <c r="J297">
        <v>0</v>
      </c>
      <c r="K297" s="9">
        <v>0</v>
      </c>
    </row>
    <row r="298" spans="1:11">
      <c r="A298">
        <v>297</v>
      </c>
      <c r="B298" s="8">
        <v>45814</v>
      </c>
      <c r="C298" t="s">
        <v>11</v>
      </c>
      <c r="D298" t="s">
        <v>12</v>
      </c>
      <c r="E298" s="1">
        <v>1</v>
      </c>
      <c r="F298" t="s">
        <v>27</v>
      </c>
      <c r="G298" s="1">
        <v>24600</v>
      </c>
      <c r="H298" s="2">
        <f t="shared" si="4"/>
        <v>24.6</v>
      </c>
      <c r="I298" s="1" t="s">
        <v>34</v>
      </c>
      <c r="J298">
        <v>0</v>
      </c>
      <c r="K298" s="9">
        <v>0</v>
      </c>
    </row>
    <row r="299" spans="1:11" ht="27.75" customHeight="1">
      <c r="A299">
        <v>298</v>
      </c>
      <c r="B299" s="8">
        <v>45814</v>
      </c>
      <c r="C299" t="s">
        <v>11</v>
      </c>
      <c r="D299" t="s">
        <v>48</v>
      </c>
      <c r="E299" s="1">
        <v>2</v>
      </c>
      <c r="F299" t="s">
        <v>23</v>
      </c>
      <c r="G299" s="1">
        <v>44360</v>
      </c>
      <c r="H299" s="2">
        <f t="shared" si="4"/>
        <v>44.36</v>
      </c>
      <c r="I299" s="1" t="s">
        <v>24</v>
      </c>
      <c r="J299">
        <v>0</v>
      </c>
      <c r="K299" s="9">
        <v>0</v>
      </c>
    </row>
    <row r="300" spans="1:11" ht="36.75" customHeight="1">
      <c r="A300">
        <v>299</v>
      </c>
      <c r="B300" s="8">
        <v>45819</v>
      </c>
      <c r="C300" t="s">
        <v>58</v>
      </c>
      <c r="D300" t="s">
        <v>59</v>
      </c>
      <c r="E300" s="1">
        <v>0</v>
      </c>
      <c r="F300" t="s">
        <v>67</v>
      </c>
      <c r="G300" s="1">
        <v>5000000</v>
      </c>
      <c r="H300" s="2">
        <f t="shared" si="4"/>
        <v>5000</v>
      </c>
      <c r="I300" s="1" t="s">
        <v>34</v>
      </c>
      <c r="J300">
        <v>0</v>
      </c>
      <c r="K300" s="9">
        <v>0</v>
      </c>
    </row>
    <row r="301" spans="1:11" ht="23.25" customHeight="1">
      <c r="A301">
        <v>300</v>
      </c>
      <c r="B301" s="8">
        <v>45821</v>
      </c>
      <c r="C301" t="s">
        <v>11</v>
      </c>
      <c r="D301" t="s">
        <v>48</v>
      </c>
      <c r="E301" s="1">
        <v>1</v>
      </c>
      <c r="F301" t="s">
        <v>13</v>
      </c>
      <c r="G301" s="1">
        <v>25000</v>
      </c>
      <c r="H301" s="2">
        <f t="shared" si="4"/>
        <v>25</v>
      </c>
      <c r="I301" s="1" t="s">
        <v>24</v>
      </c>
      <c r="J301">
        <v>0</v>
      </c>
      <c r="K301" s="9">
        <v>0</v>
      </c>
    </row>
    <row r="302" spans="1:11">
      <c r="A302">
        <v>301</v>
      </c>
      <c r="B302" s="8">
        <v>45828</v>
      </c>
      <c r="C302" t="s">
        <v>11</v>
      </c>
      <c r="D302" t="s">
        <v>12</v>
      </c>
      <c r="E302" s="1">
        <v>1</v>
      </c>
      <c r="F302" t="s">
        <v>27</v>
      </c>
      <c r="G302" s="1">
        <v>24600</v>
      </c>
      <c r="H302" s="2">
        <f t="shared" si="4"/>
        <v>24.6</v>
      </c>
      <c r="I302" s="1" t="s">
        <v>34</v>
      </c>
      <c r="J302">
        <v>0</v>
      </c>
      <c r="K302" s="9">
        <v>0</v>
      </c>
    </row>
    <row r="303" spans="1:11">
      <c r="A303">
        <v>302</v>
      </c>
      <c r="B303" s="8">
        <v>45828</v>
      </c>
      <c r="C303" t="s">
        <v>11</v>
      </c>
      <c r="D303" t="s">
        <v>12</v>
      </c>
      <c r="E303" s="1">
        <v>3</v>
      </c>
      <c r="F303" t="s">
        <v>27</v>
      </c>
      <c r="G303" s="1">
        <v>70000</v>
      </c>
      <c r="H303" s="2">
        <f t="shared" si="4"/>
        <v>70</v>
      </c>
      <c r="I303" s="1" t="s">
        <v>24</v>
      </c>
      <c r="J303">
        <v>0</v>
      </c>
      <c r="K303" s="9">
        <v>0</v>
      </c>
    </row>
    <row r="304" spans="1:11">
      <c r="A304">
        <v>303</v>
      </c>
      <c r="B304" s="8">
        <v>45828</v>
      </c>
      <c r="C304" t="s">
        <v>11</v>
      </c>
      <c r="D304" t="s">
        <v>12</v>
      </c>
      <c r="E304" s="1">
        <v>3</v>
      </c>
      <c r="F304" t="s">
        <v>27</v>
      </c>
      <c r="G304" s="1">
        <v>70000</v>
      </c>
      <c r="H304" s="2">
        <f t="shared" si="4"/>
        <v>70</v>
      </c>
      <c r="I304" s="1" t="s">
        <v>24</v>
      </c>
      <c r="J304">
        <v>0</v>
      </c>
      <c r="K304" s="9">
        <v>0</v>
      </c>
    </row>
    <row r="305" spans="1:11">
      <c r="A305">
        <v>304</v>
      </c>
      <c r="B305" s="8">
        <v>45852</v>
      </c>
      <c r="C305" t="s">
        <v>11</v>
      </c>
      <c r="D305" t="s">
        <v>12</v>
      </c>
      <c r="E305" s="1">
        <v>3</v>
      </c>
      <c r="F305" t="s">
        <v>27</v>
      </c>
      <c r="G305" s="1">
        <v>70000</v>
      </c>
      <c r="H305" s="2">
        <f t="shared" si="4"/>
        <v>70</v>
      </c>
      <c r="I305" s="1" t="s">
        <v>24</v>
      </c>
      <c r="J305">
        <v>0</v>
      </c>
      <c r="K305" s="9">
        <v>0</v>
      </c>
    </row>
    <row r="306" spans="1:11" ht="17.25" customHeight="1">
      <c r="A306">
        <v>305</v>
      </c>
      <c r="B306" s="8">
        <v>45853</v>
      </c>
      <c r="C306" t="s">
        <v>58</v>
      </c>
      <c r="D306" t="s">
        <v>12</v>
      </c>
      <c r="E306" s="1">
        <v>0</v>
      </c>
      <c r="F306" t="s">
        <v>67</v>
      </c>
      <c r="G306" s="1">
        <v>4000</v>
      </c>
      <c r="H306" s="2">
        <f t="shared" si="4"/>
        <v>4</v>
      </c>
      <c r="I306" s="1" t="s">
        <v>47</v>
      </c>
      <c r="J306">
        <v>0</v>
      </c>
      <c r="K306" s="9">
        <v>0</v>
      </c>
    </row>
    <row r="307" spans="1:11" ht="27" customHeight="1">
      <c r="A307">
        <v>306</v>
      </c>
      <c r="B307" s="8">
        <v>45868</v>
      </c>
      <c r="C307" t="s">
        <v>11</v>
      </c>
      <c r="D307" t="s">
        <v>12</v>
      </c>
      <c r="E307" s="1">
        <v>1</v>
      </c>
      <c r="F307" t="s">
        <v>23</v>
      </c>
      <c r="G307" s="1">
        <v>22180</v>
      </c>
      <c r="H307" s="2">
        <f t="shared" si="4"/>
        <v>22.18</v>
      </c>
      <c r="I307" s="1" t="s">
        <v>24</v>
      </c>
      <c r="J307">
        <v>0</v>
      </c>
      <c r="K307" s="9">
        <v>0</v>
      </c>
    </row>
    <row r="308" spans="1:11" ht="18.75" customHeight="1">
      <c r="A308">
        <v>307</v>
      </c>
      <c r="B308" s="8">
        <v>45873</v>
      </c>
      <c r="C308" t="s">
        <v>11</v>
      </c>
      <c r="D308" t="s">
        <v>12</v>
      </c>
      <c r="E308" s="1">
        <v>1</v>
      </c>
      <c r="F308" t="s">
        <v>27</v>
      </c>
      <c r="G308" s="1">
        <v>19250</v>
      </c>
      <c r="H308" s="2">
        <f t="shared" si="4"/>
        <v>19.25</v>
      </c>
      <c r="I308" s="1" t="s">
        <v>72</v>
      </c>
      <c r="J308">
        <v>0</v>
      </c>
      <c r="K308" s="9">
        <v>0</v>
      </c>
    </row>
    <row r="309" spans="1:11" ht="26.25" customHeight="1">
      <c r="A309">
        <v>308</v>
      </c>
      <c r="B309" s="8">
        <v>45874</v>
      </c>
      <c r="C309" t="s">
        <v>11</v>
      </c>
      <c r="D309" t="s">
        <v>12</v>
      </c>
      <c r="E309" s="1">
        <v>0</v>
      </c>
      <c r="F309" t="s">
        <v>70</v>
      </c>
      <c r="G309" s="1">
        <v>0</v>
      </c>
      <c r="H309" s="2">
        <f t="shared" si="4"/>
        <v>0</v>
      </c>
      <c r="I309" s="1" t="s">
        <v>24</v>
      </c>
      <c r="J309">
        <v>5875</v>
      </c>
      <c r="K309" s="9">
        <v>0</v>
      </c>
    </row>
    <row r="310" spans="1:11" ht="33" customHeight="1">
      <c r="A310">
        <v>309</v>
      </c>
      <c r="B310" s="8">
        <v>45874</v>
      </c>
      <c r="C310" t="s">
        <v>11</v>
      </c>
      <c r="D310" t="s">
        <v>69</v>
      </c>
      <c r="E310" s="1">
        <v>0</v>
      </c>
      <c r="F310" t="s">
        <v>70</v>
      </c>
      <c r="G310" s="1">
        <v>0</v>
      </c>
      <c r="H310" s="2">
        <f t="shared" si="4"/>
        <v>0</v>
      </c>
      <c r="I310" s="1" t="s">
        <v>24</v>
      </c>
      <c r="J310">
        <v>1152</v>
      </c>
      <c r="K310" s="9">
        <v>0</v>
      </c>
    </row>
    <row r="311" spans="1:11" ht="20.25" customHeight="1">
      <c r="A311">
        <v>310</v>
      </c>
      <c r="B311" s="8">
        <v>45874</v>
      </c>
      <c r="C311" t="s">
        <v>11</v>
      </c>
      <c r="D311" t="s">
        <v>69</v>
      </c>
      <c r="E311" s="1">
        <v>0</v>
      </c>
      <c r="F311" t="s">
        <v>70</v>
      </c>
      <c r="G311" s="1">
        <v>0</v>
      </c>
      <c r="H311" s="2">
        <f t="shared" si="4"/>
        <v>0</v>
      </c>
      <c r="I311" s="1" t="s">
        <v>24</v>
      </c>
      <c r="J311">
        <v>6915</v>
      </c>
      <c r="K311" s="9">
        <v>0</v>
      </c>
    </row>
    <row r="312" spans="1:11" ht="29.25" customHeight="1">
      <c r="A312">
        <v>311</v>
      </c>
      <c r="B312" s="8">
        <v>45890</v>
      </c>
      <c r="C312" t="s">
        <v>11</v>
      </c>
      <c r="D312" t="s">
        <v>48</v>
      </c>
      <c r="E312" s="1">
        <v>1</v>
      </c>
      <c r="F312" t="s">
        <v>73</v>
      </c>
      <c r="G312" s="1">
        <v>7335</v>
      </c>
      <c r="H312" s="2">
        <f t="shared" si="4"/>
        <v>7.335</v>
      </c>
      <c r="I312" s="1" t="s">
        <v>24</v>
      </c>
      <c r="J312">
        <v>0</v>
      </c>
      <c r="K312" s="9">
        <v>0</v>
      </c>
    </row>
    <row r="313" spans="1:11" ht="18" customHeight="1">
      <c r="A313">
        <v>312</v>
      </c>
      <c r="B313" s="8">
        <v>45897</v>
      </c>
      <c r="C313" t="s">
        <v>11</v>
      </c>
      <c r="D313" t="s">
        <v>48</v>
      </c>
      <c r="E313" s="1">
        <v>1</v>
      </c>
      <c r="F313" t="s">
        <v>74</v>
      </c>
      <c r="G313" s="1">
        <v>7716</v>
      </c>
      <c r="H313" s="2">
        <f t="shared" si="4"/>
        <v>7.7160000000000002</v>
      </c>
      <c r="I313" s="1" t="s">
        <v>75</v>
      </c>
      <c r="J313" s="1">
        <v>0</v>
      </c>
      <c r="K313" s="9">
        <v>0</v>
      </c>
    </row>
    <row r="314" spans="1:11" ht="26.25" customHeight="1">
      <c r="A314">
        <v>313</v>
      </c>
      <c r="B314" s="8">
        <v>45902</v>
      </c>
      <c r="C314" t="s">
        <v>11</v>
      </c>
      <c r="D314" t="s">
        <v>48</v>
      </c>
      <c r="E314" s="1">
        <v>1</v>
      </c>
      <c r="F314" t="s">
        <v>23</v>
      </c>
      <c r="G314" s="1">
        <v>22760</v>
      </c>
      <c r="H314" s="2">
        <f t="shared" si="4"/>
        <v>22.76</v>
      </c>
      <c r="I314" s="1" t="s">
        <v>24</v>
      </c>
      <c r="J314">
        <v>0</v>
      </c>
      <c r="K314" s="9">
        <v>0</v>
      </c>
    </row>
    <row r="315" spans="1:11" ht="13.5" customHeight="1">
      <c r="A315">
        <v>314</v>
      </c>
      <c r="B315" s="8">
        <v>45903</v>
      </c>
      <c r="C315" t="s">
        <v>11</v>
      </c>
      <c r="D315" t="s">
        <v>12</v>
      </c>
      <c r="E315" s="1">
        <v>3</v>
      </c>
      <c r="F315" t="s">
        <v>27</v>
      </c>
      <c r="G315" s="1">
        <v>70000</v>
      </c>
      <c r="H315" s="2">
        <f t="shared" si="4"/>
        <v>70</v>
      </c>
      <c r="I315" s="1" t="s">
        <v>24</v>
      </c>
      <c r="J315">
        <v>0</v>
      </c>
      <c r="K315" s="9">
        <v>0</v>
      </c>
    </row>
    <row r="316" spans="1:11" ht="18" customHeight="1">
      <c r="A316">
        <v>315</v>
      </c>
      <c r="B316" s="11">
        <v>45910</v>
      </c>
      <c r="C316" t="s">
        <v>11</v>
      </c>
      <c r="D316" t="s">
        <v>59</v>
      </c>
      <c r="E316" s="1">
        <v>1</v>
      </c>
      <c r="F316" t="s">
        <v>76</v>
      </c>
      <c r="G316" s="1">
        <v>21113</v>
      </c>
      <c r="H316" s="2">
        <f t="shared" si="4"/>
        <v>21.113</v>
      </c>
      <c r="I316" s="1" t="s">
        <v>77</v>
      </c>
      <c r="J316">
        <v>0</v>
      </c>
      <c r="K316" s="9">
        <v>0</v>
      </c>
    </row>
    <row r="317" spans="1:11" ht="19.5" customHeight="1">
      <c r="A317">
        <v>316</v>
      </c>
      <c r="B317" s="11">
        <v>45917</v>
      </c>
      <c r="C317" t="s">
        <v>11</v>
      </c>
      <c r="D317" t="s">
        <v>59</v>
      </c>
      <c r="E317" s="1">
        <v>1</v>
      </c>
      <c r="F317" t="s">
        <v>73</v>
      </c>
      <c r="G317" s="1">
        <v>9720</v>
      </c>
      <c r="H317" s="2">
        <f t="shared" si="4"/>
        <v>9.7200000000000006</v>
      </c>
      <c r="I317" s="1" t="s">
        <v>24</v>
      </c>
      <c r="J317">
        <v>0</v>
      </c>
      <c r="K317" s="9">
        <v>0</v>
      </c>
    </row>
    <row r="318" spans="1:11" ht="21.75" customHeight="1">
      <c r="A318">
        <v>317</v>
      </c>
      <c r="B318" s="11">
        <v>45917</v>
      </c>
      <c r="C318" t="s">
        <v>11</v>
      </c>
      <c r="D318" t="s">
        <v>59</v>
      </c>
      <c r="E318" s="1">
        <v>1</v>
      </c>
      <c r="F318" t="s">
        <v>73</v>
      </c>
      <c r="G318" s="1">
        <v>9720</v>
      </c>
      <c r="H318" s="2">
        <f t="shared" si="4"/>
        <v>9.7200000000000006</v>
      </c>
      <c r="I318" s="1" t="s">
        <v>24</v>
      </c>
      <c r="J318">
        <v>0</v>
      </c>
      <c r="K318" s="9">
        <v>0</v>
      </c>
    </row>
    <row r="319" spans="1:11" ht="13.5" customHeight="1">
      <c r="A319">
        <v>318</v>
      </c>
      <c r="B319" s="11">
        <v>45918</v>
      </c>
      <c r="C319" t="s">
        <v>11</v>
      </c>
      <c r="D319" t="s">
        <v>12</v>
      </c>
      <c r="E319" s="1">
        <v>4</v>
      </c>
      <c r="F319" t="s">
        <v>27</v>
      </c>
      <c r="G319" s="1">
        <v>87500</v>
      </c>
      <c r="H319" s="2">
        <f t="shared" si="4"/>
        <v>87.5</v>
      </c>
      <c r="I319" s="1" t="s">
        <v>24</v>
      </c>
      <c r="J319">
        <v>0</v>
      </c>
      <c r="K319" s="9">
        <v>0</v>
      </c>
    </row>
    <row r="320" spans="1:11" ht="20.25" customHeight="1">
      <c r="A320">
        <v>319</v>
      </c>
      <c r="B320" s="11">
        <v>45946</v>
      </c>
      <c r="C320" t="s">
        <v>11</v>
      </c>
      <c r="D320" t="s">
        <v>59</v>
      </c>
      <c r="E320" s="1">
        <v>1</v>
      </c>
      <c r="F320" t="s">
        <v>78</v>
      </c>
      <c r="G320" s="1">
        <v>9720</v>
      </c>
      <c r="H320" s="2">
        <f t="shared" si="4"/>
        <v>9.7200000000000006</v>
      </c>
      <c r="I320" s="1" t="s">
        <v>24</v>
      </c>
      <c r="J320">
        <v>0</v>
      </c>
      <c r="K320" s="9">
        <v>0</v>
      </c>
    </row>
    <row r="321" spans="1:11" ht="23.25" customHeight="1">
      <c r="A321">
        <v>320</v>
      </c>
      <c r="B321" s="11">
        <v>45946</v>
      </c>
      <c r="C321" t="s">
        <v>11</v>
      </c>
      <c r="D321" t="s">
        <v>59</v>
      </c>
      <c r="E321" s="1">
        <v>1</v>
      </c>
      <c r="F321" t="s">
        <v>78</v>
      </c>
      <c r="G321" s="1">
        <v>3600</v>
      </c>
      <c r="H321" s="2">
        <f t="shared" si="4"/>
        <v>3.6</v>
      </c>
      <c r="I321" s="1" t="s">
        <v>24</v>
      </c>
      <c r="J321">
        <v>0</v>
      </c>
      <c r="K321" s="9">
        <v>0</v>
      </c>
    </row>
    <row r="322" spans="1:11" ht="27" customHeight="1">
      <c r="A322">
        <v>321</v>
      </c>
      <c r="B322" s="11">
        <v>45946</v>
      </c>
      <c r="C322" t="s">
        <v>11</v>
      </c>
      <c r="D322" t="s">
        <v>59</v>
      </c>
      <c r="E322" s="1">
        <v>1</v>
      </c>
      <c r="F322" t="s">
        <v>79</v>
      </c>
      <c r="G322" s="1">
        <v>7797.6</v>
      </c>
      <c r="H322" s="2">
        <f t="shared" ref="H322:H340" si="5">G322/1000</f>
        <v>7.7976000000000001</v>
      </c>
      <c r="I322" s="1" t="s">
        <v>24</v>
      </c>
      <c r="J322">
        <v>0</v>
      </c>
      <c r="K322" s="9">
        <v>0</v>
      </c>
    </row>
    <row r="323" spans="1:11" ht="23.25" customHeight="1">
      <c r="A323">
        <v>322</v>
      </c>
      <c r="B323" s="11">
        <v>45972</v>
      </c>
      <c r="C323" t="s">
        <v>11</v>
      </c>
      <c r="D323" t="s">
        <v>59</v>
      </c>
      <c r="E323" s="1">
        <v>1</v>
      </c>
      <c r="F323" t="s">
        <v>78</v>
      </c>
      <c r="G323" s="1">
        <v>4800</v>
      </c>
      <c r="H323" s="2">
        <f t="shared" si="5"/>
        <v>4.8</v>
      </c>
      <c r="I323" s="1" t="s">
        <v>75</v>
      </c>
      <c r="J323">
        <v>0</v>
      </c>
      <c r="K323" s="9">
        <v>0</v>
      </c>
    </row>
    <row r="324" spans="1:11" ht="26.25" customHeight="1">
      <c r="A324">
        <v>323</v>
      </c>
      <c r="B324" s="11">
        <v>45978</v>
      </c>
      <c r="C324" t="s">
        <v>11</v>
      </c>
      <c r="D324" t="s">
        <v>80</v>
      </c>
      <c r="E324" s="1">
        <v>0</v>
      </c>
      <c r="F324" t="s">
        <v>64</v>
      </c>
      <c r="G324" s="1">
        <v>1500</v>
      </c>
      <c r="H324" s="2">
        <f t="shared" si="5"/>
        <v>1.5</v>
      </c>
      <c r="I324" s="1" t="s">
        <v>47</v>
      </c>
      <c r="J324">
        <v>0</v>
      </c>
      <c r="K324" s="9">
        <v>0</v>
      </c>
    </row>
    <row r="325" spans="1:11" ht="27" customHeight="1">
      <c r="A325">
        <v>324</v>
      </c>
      <c r="B325" s="11">
        <v>45981</v>
      </c>
      <c r="C325" t="s">
        <v>11</v>
      </c>
      <c r="D325" t="s">
        <v>59</v>
      </c>
      <c r="E325" s="1">
        <v>1</v>
      </c>
      <c r="F325" t="s">
        <v>78</v>
      </c>
      <c r="G325" s="1">
        <v>10665</v>
      </c>
      <c r="H325" s="2">
        <f t="shared" si="5"/>
        <v>10.664999999999999</v>
      </c>
      <c r="I325" s="1" t="s">
        <v>24</v>
      </c>
      <c r="J325">
        <v>0</v>
      </c>
      <c r="K325" s="9">
        <v>0</v>
      </c>
    </row>
    <row r="326" spans="1:11" ht="30" customHeight="1">
      <c r="A326">
        <v>325</v>
      </c>
      <c r="B326" s="11">
        <v>45981</v>
      </c>
      <c r="C326" t="s">
        <v>11</v>
      </c>
      <c r="D326" t="s">
        <v>59</v>
      </c>
      <c r="E326" s="1">
        <v>1</v>
      </c>
      <c r="F326" t="s">
        <v>78</v>
      </c>
      <c r="G326" s="1">
        <v>10665</v>
      </c>
      <c r="H326" s="2">
        <f t="shared" si="5"/>
        <v>10.664999999999999</v>
      </c>
      <c r="I326" s="1" t="s">
        <v>24</v>
      </c>
      <c r="J326">
        <v>0</v>
      </c>
      <c r="K326" s="9">
        <v>0</v>
      </c>
    </row>
    <row r="327" spans="1:11" ht="18" customHeight="1">
      <c r="A327">
        <v>326</v>
      </c>
      <c r="B327" s="11">
        <v>45994</v>
      </c>
      <c r="C327" t="s">
        <v>11</v>
      </c>
      <c r="D327" t="s">
        <v>59</v>
      </c>
      <c r="E327" s="1">
        <v>1</v>
      </c>
      <c r="F327" t="s">
        <v>78</v>
      </c>
      <c r="G327" s="1">
        <v>8921.2999999999993</v>
      </c>
      <c r="H327" s="2">
        <f t="shared" si="5"/>
        <v>8.9212999999999987</v>
      </c>
      <c r="I327" s="1" t="s">
        <v>24</v>
      </c>
      <c r="J327">
        <v>0</v>
      </c>
      <c r="K327" s="9">
        <v>0</v>
      </c>
    </row>
    <row r="328" spans="1:11" ht="22.5" customHeight="1">
      <c r="A328">
        <v>327</v>
      </c>
      <c r="B328" s="11">
        <v>45994</v>
      </c>
      <c r="C328" t="s">
        <v>11</v>
      </c>
      <c r="D328" t="s">
        <v>59</v>
      </c>
      <c r="E328" s="1">
        <v>1</v>
      </c>
      <c r="F328" t="s">
        <v>78</v>
      </c>
      <c r="G328" s="1">
        <v>10665</v>
      </c>
      <c r="H328" s="2">
        <f t="shared" si="5"/>
        <v>10.664999999999999</v>
      </c>
      <c r="I328" s="1" t="s">
        <v>24</v>
      </c>
      <c r="J328">
        <v>0</v>
      </c>
      <c r="K328" s="9">
        <v>0</v>
      </c>
    </row>
    <row r="329" spans="1:11" ht="24" customHeight="1">
      <c r="A329">
        <v>328</v>
      </c>
      <c r="B329" s="11">
        <v>45999</v>
      </c>
      <c r="C329" t="s">
        <v>11</v>
      </c>
      <c r="D329" t="s">
        <v>59</v>
      </c>
      <c r="E329" s="1">
        <v>1</v>
      </c>
      <c r="F329" t="s">
        <v>81</v>
      </c>
      <c r="G329" s="1">
        <v>5193</v>
      </c>
      <c r="H329" s="2">
        <f t="shared" si="5"/>
        <v>5.1929999999999996</v>
      </c>
      <c r="I329" s="1" t="s">
        <v>24</v>
      </c>
      <c r="J329">
        <v>0</v>
      </c>
      <c r="K329" s="9">
        <v>0</v>
      </c>
    </row>
    <row r="330" spans="1:11">
      <c r="A330">
        <v>329</v>
      </c>
      <c r="B330" s="11">
        <v>46001</v>
      </c>
      <c r="C330" t="s">
        <v>11</v>
      </c>
      <c r="D330" t="s">
        <v>48</v>
      </c>
      <c r="E330" s="1">
        <v>4</v>
      </c>
      <c r="F330" t="s">
        <v>27</v>
      </c>
      <c r="G330" s="1">
        <v>93450</v>
      </c>
      <c r="H330" s="2">
        <f t="shared" si="5"/>
        <v>93.45</v>
      </c>
      <c r="I330" s="1" t="s">
        <v>24</v>
      </c>
      <c r="J330">
        <v>0</v>
      </c>
      <c r="K330" s="9">
        <v>0</v>
      </c>
    </row>
    <row r="331" spans="1:11">
      <c r="A331">
        <v>330</v>
      </c>
      <c r="B331" s="11">
        <v>46001</v>
      </c>
      <c r="C331" t="s">
        <v>11</v>
      </c>
      <c r="D331" t="s">
        <v>48</v>
      </c>
      <c r="E331" s="1">
        <v>3</v>
      </c>
      <c r="F331" t="s">
        <v>27</v>
      </c>
      <c r="G331" s="1">
        <v>70070</v>
      </c>
      <c r="H331" s="2">
        <f t="shared" si="5"/>
        <v>70.069999999999993</v>
      </c>
      <c r="I331" s="1" t="s">
        <v>24</v>
      </c>
      <c r="J331">
        <v>0</v>
      </c>
      <c r="K331" s="9">
        <v>0</v>
      </c>
    </row>
    <row r="332" spans="1:11" ht="12.75" customHeight="1">
      <c r="A332">
        <v>331</v>
      </c>
      <c r="B332" s="11">
        <v>46002</v>
      </c>
      <c r="C332" t="s">
        <v>11</v>
      </c>
      <c r="D332" t="s">
        <v>59</v>
      </c>
      <c r="E332" s="1">
        <v>1</v>
      </c>
      <c r="F332" t="s">
        <v>74</v>
      </c>
      <c r="G332" s="1">
        <v>8560</v>
      </c>
      <c r="H332" s="2">
        <f t="shared" si="5"/>
        <v>8.56</v>
      </c>
      <c r="I332" s="1" t="s">
        <v>75</v>
      </c>
      <c r="J332">
        <v>0</v>
      </c>
      <c r="K332" s="9">
        <v>0</v>
      </c>
    </row>
    <row r="333" spans="1:11">
      <c r="A333">
        <v>332</v>
      </c>
      <c r="B333" s="11">
        <v>46006</v>
      </c>
      <c r="C333" t="s">
        <v>11</v>
      </c>
      <c r="D333" t="s">
        <v>48</v>
      </c>
      <c r="E333" s="1">
        <v>3</v>
      </c>
      <c r="F333" t="s">
        <v>27</v>
      </c>
      <c r="G333" s="1">
        <v>75000</v>
      </c>
      <c r="H333" s="2">
        <f t="shared" si="5"/>
        <v>75</v>
      </c>
      <c r="I333" s="1" t="s">
        <v>34</v>
      </c>
      <c r="J333">
        <v>0</v>
      </c>
      <c r="K333" s="9">
        <v>0</v>
      </c>
    </row>
    <row r="334" spans="1:11">
      <c r="A334">
        <v>333</v>
      </c>
      <c r="B334" s="11">
        <v>46008</v>
      </c>
      <c r="C334" t="s">
        <v>11</v>
      </c>
      <c r="D334" t="s">
        <v>59</v>
      </c>
      <c r="E334" s="1">
        <v>3</v>
      </c>
      <c r="F334" t="s">
        <v>27</v>
      </c>
      <c r="G334" s="1">
        <v>70000</v>
      </c>
      <c r="H334" s="2">
        <f t="shared" si="5"/>
        <v>70</v>
      </c>
      <c r="I334" s="1" t="s">
        <v>24</v>
      </c>
      <c r="J334">
        <v>0</v>
      </c>
      <c r="K334" s="9">
        <v>0</v>
      </c>
    </row>
    <row r="335" spans="1:11" ht="18" customHeight="1">
      <c r="A335">
        <v>334</v>
      </c>
      <c r="B335" s="11">
        <v>46010</v>
      </c>
      <c r="C335" t="s">
        <v>11</v>
      </c>
      <c r="D335" t="s">
        <v>59</v>
      </c>
      <c r="E335" s="1">
        <v>0</v>
      </c>
      <c r="F335" t="s">
        <v>82</v>
      </c>
      <c r="G335" s="1">
        <v>0</v>
      </c>
      <c r="H335" s="2">
        <f t="shared" si="5"/>
        <v>0</v>
      </c>
      <c r="I335" s="1" t="s">
        <v>83</v>
      </c>
      <c r="J335">
        <v>1985</v>
      </c>
      <c r="K335" s="9">
        <v>0</v>
      </c>
    </row>
    <row r="336" spans="1:11">
      <c r="A336">
        <v>335</v>
      </c>
      <c r="B336" s="11">
        <v>46010</v>
      </c>
      <c r="C336" t="s">
        <v>11</v>
      </c>
      <c r="D336" t="s">
        <v>12</v>
      </c>
      <c r="E336" s="1">
        <v>1</v>
      </c>
      <c r="F336" t="s">
        <v>27</v>
      </c>
      <c r="G336" s="1">
        <v>19380</v>
      </c>
      <c r="H336" s="2">
        <f t="shared" si="5"/>
        <v>19.38</v>
      </c>
      <c r="I336" s="1" t="s">
        <v>84</v>
      </c>
      <c r="J336">
        <v>0</v>
      </c>
      <c r="K336" s="9">
        <v>0</v>
      </c>
    </row>
    <row r="337" spans="1:11" ht="18" customHeight="1">
      <c r="A337">
        <v>336</v>
      </c>
      <c r="B337" s="11">
        <v>46030</v>
      </c>
      <c r="C337" t="s">
        <v>11</v>
      </c>
      <c r="D337" t="s">
        <v>12</v>
      </c>
      <c r="E337" s="12">
        <v>1</v>
      </c>
      <c r="F337" t="s">
        <v>27</v>
      </c>
      <c r="G337" s="1">
        <v>22400</v>
      </c>
      <c r="H337" s="2">
        <f t="shared" si="5"/>
        <v>22.4</v>
      </c>
      <c r="I337" s="1" t="s">
        <v>24</v>
      </c>
      <c r="J337">
        <v>0</v>
      </c>
      <c r="K337" s="9">
        <v>0</v>
      </c>
    </row>
    <row r="338" spans="1:11" ht="18" customHeight="1">
      <c r="A338">
        <v>337</v>
      </c>
      <c r="B338" s="13">
        <v>46034</v>
      </c>
      <c r="C338" t="s">
        <v>11</v>
      </c>
      <c r="D338" t="s">
        <v>59</v>
      </c>
      <c r="E338" s="12">
        <v>1</v>
      </c>
      <c r="F338" t="s">
        <v>78</v>
      </c>
      <c r="G338" s="1">
        <v>10665</v>
      </c>
      <c r="H338" s="2">
        <f t="shared" si="5"/>
        <v>10.664999999999999</v>
      </c>
      <c r="I338" s="1" t="s">
        <v>24</v>
      </c>
      <c r="J338">
        <v>0</v>
      </c>
      <c r="K338" s="9">
        <v>0</v>
      </c>
    </row>
    <row r="339" spans="1:11" ht="18" customHeight="1">
      <c r="A339">
        <v>338</v>
      </c>
      <c r="B339" s="13">
        <v>46035</v>
      </c>
      <c r="C339" t="s">
        <v>11</v>
      </c>
      <c r="D339" t="s">
        <v>59</v>
      </c>
      <c r="E339" s="12">
        <v>9</v>
      </c>
      <c r="F339" t="s">
        <v>27</v>
      </c>
      <c r="G339" s="1">
        <v>210000</v>
      </c>
      <c r="H339" s="2">
        <f t="shared" si="5"/>
        <v>210</v>
      </c>
      <c r="I339" s="1" t="s">
        <v>85</v>
      </c>
      <c r="J339">
        <v>0</v>
      </c>
      <c r="K339" s="9">
        <v>0</v>
      </c>
    </row>
    <row r="340" spans="1:11" ht="18" customHeight="1">
      <c r="A340">
        <v>339</v>
      </c>
      <c r="B340" s="13">
        <v>46037</v>
      </c>
      <c r="C340" t="s">
        <v>11</v>
      </c>
      <c r="D340" t="s">
        <v>12</v>
      </c>
      <c r="E340" s="12">
        <v>1</v>
      </c>
      <c r="F340" t="s">
        <v>27</v>
      </c>
      <c r="G340" s="1">
        <v>20480</v>
      </c>
      <c r="H340" s="2">
        <f t="shared" si="5"/>
        <v>20.48</v>
      </c>
      <c r="I340" s="1" t="s">
        <v>24</v>
      </c>
      <c r="J340">
        <v>0</v>
      </c>
      <c r="K340" s="9">
        <v>0</v>
      </c>
    </row>
    <row r="341" spans="1:11" ht="18" customHeight="1">
      <c r="A341">
        <v>340</v>
      </c>
      <c r="B341" s="13">
        <v>46037</v>
      </c>
      <c r="C341" t="s">
        <v>11</v>
      </c>
      <c r="D341" t="s">
        <v>59</v>
      </c>
      <c r="E341" s="12">
        <v>1</v>
      </c>
      <c r="F341" t="s">
        <v>78</v>
      </c>
      <c r="G341" s="1" t="s">
        <v>86</v>
      </c>
      <c r="H341" s="2">
        <v>7.6</v>
      </c>
      <c r="I341" s="1" t="s">
        <v>24</v>
      </c>
      <c r="J341">
        <v>0</v>
      </c>
      <c r="K341" s="9">
        <v>0</v>
      </c>
    </row>
    <row r="342" spans="1:11" ht="18" customHeight="1">
      <c r="A342">
        <v>341</v>
      </c>
      <c r="B342" s="13">
        <v>46037</v>
      </c>
      <c r="C342" t="s">
        <v>11</v>
      </c>
      <c r="D342" t="s">
        <v>12</v>
      </c>
      <c r="E342" s="12">
        <v>3</v>
      </c>
      <c r="F342" t="s">
        <v>27</v>
      </c>
      <c r="G342" s="1">
        <v>70000</v>
      </c>
      <c r="H342" s="2">
        <f t="shared" ref="H342:H367" si="6">G342/1000</f>
        <v>70</v>
      </c>
      <c r="I342" s="1" t="s">
        <v>24</v>
      </c>
      <c r="J342">
        <v>0</v>
      </c>
      <c r="K342" s="9">
        <v>0</v>
      </c>
    </row>
    <row r="343" spans="1:11" ht="18" customHeight="1">
      <c r="A343">
        <v>342</v>
      </c>
      <c r="B343" s="13">
        <v>46037</v>
      </c>
      <c r="C343" t="s">
        <v>11</v>
      </c>
      <c r="D343" t="s">
        <v>12</v>
      </c>
      <c r="E343" s="12">
        <v>3</v>
      </c>
      <c r="F343" t="s">
        <v>27</v>
      </c>
      <c r="G343" s="1">
        <v>70000</v>
      </c>
      <c r="H343" s="2">
        <f t="shared" si="6"/>
        <v>70</v>
      </c>
      <c r="I343" s="1" t="s">
        <v>24</v>
      </c>
      <c r="J343">
        <v>0</v>
      </c>
      <c r="K343" s="9">
        <v>0</v>
      </c>
    </row>
    <row r="344" spans="1:11" ht="18" customHeight="1">
      <c r="A344">
        <v>343</v>
      </c>
      <c r="B344" s="14">
        <v>46042</v>
      </c>
      <c r="C344" t="s">
        <v>11</v>
      </c>
      <c r="D344" t="s">
        <v>12</v>
      </c>
      <c r="E344" s="12">
        <v>9</v>
      </c>
      <c r="F344" t="s">
        <v>27</v>
      </c>
      <c r="G344" s="1">
        <v>210000</v>
      </c>
      <c r="H344" s="2">
        <f t="shared" si="6"/>
        <v>210</v>
      </c>
      <c r="I344" s="1" t="s">
        <v>24</v>
      </c>
      <c r="J344">
        <v>0</v>
      </c>
      <c r="K344" s="9">
        <v>0</v>
      </c>
    </row>
    <row r="345" spans="1:11" ht="18" customHeight="1">
      <c r="A345">
        <v>344</v>
      </c>
      <c r="B345" s="14">
        <v>46043</v>
      </c>
      <c r="C345" t="s">
        <v>11</v>
      </c>
      <c r="D345" t="s">
        <v>12</v>
      </c>
      <c r="E345" s="12">
        <v>4</v>
      </c>
      <c r="F345" t="s">
        <v>27</v>
      </c>
      <c r="G345" s="1">
        <v>93380</v>
      </c>
      <c r="H345" s="2">
        <f t="shared" si="6"/>
        <v>93.38</v>
      </c>
      <c r="I345" s="1" t="s">
        <v>24</v>
      </c>
      <c r="J345">
        <v>0</v>
      </c>
      <c r="K345" s="9">
        <v>0</v>
      </c>
    </row>
    <row r="346" spans="1:11" ht="18" customHeight="1">
      <c r="A346">
        <v>345</v>
      </c>
      <c r="B346" s="14">
        <v>46043</v>
      </c>
      <c r="C346" t="s">
        <v>11</v>
      </c>
      <c r="D346" t="s">
        <v>12</v>
      </c>
      <c r="E346" s="12">
        <v>3</v>
      </c>
      <c r="F346" t="s">
        <v>27</v>
      </c>
      <c r="G346" s="1">
        <v>64120</v>
      </c>
      <c r="H346" s="2">
        <f t="shared" si="6"/>
        <v>64.12</v>
      </c>
      <c r="I346" s="1" t="s">
        <v>24</v>
      </c>
      <c r="J346">
        <v>0</v>
      </c>
      <c r="K346" s="9">
        <v>0</v>
      </c>
    </row>
    <row r="347" spans="1:11" ht="18" customHeight="1">
      <c r="A347">
        <v>346</v>
      </c>
      <c r="B347" s="14">
        <v>46044</v>
      </c>
      <c r="C347" t="s">
        <v>11</v>
      </c>
      <c r="D347" t="s">
        <v>12</v>
      </c>
      <c r="E347" s="12">
        <v>1</v>
      </c>
      <c r="F347" t="s">
        <v>78</v>
      </c>
      <c r="G347" s="1">
        <v>4500</v>
      </c>
      <c r="H347" s="2">
        <f t="shared" si="6"/>
        <v>4.5</v>
      </c>
      <c r="I347" s="1" t="s">
        <v>24</v>
      </c>
      <c r="J347">
        <v>0</v>
      </c>
      <c r="K347" s="9">
        <v>0</v>
      </c>
    </row>
    <row r="348" spans="1:11" ht="18" customHeight="1">
      <c r="A348">
        <v>347</v>
      </c>
      <c r="B348" s="14">
        <v>46044</v>
      </c>
      <c r="C348" t="s">
        <v>11</v>
      </c>
      <c r="D348" t="s">
        <v>12</v>
      </c>
      <c r="E348" s="12">
        <v>1</v>
      </c>
      <c r="F348" t="s">
        <v>78</v>
      </c>
      <c r="G348" s="1">
        <v>10692.65</v>
      </c>
      <c r="H348" s="2">
        <f t="shared" si="6"/>
        <v>10.69265</v>
      </c>
      <c r="I348" s="1" t="s">
        <v>24</v>
      </c>
      <c r="J348">
        <v>0</v>
      </c>
      <c r="K348" s="9">
        <v>0</v>
      </c>
    </row>
    <row r="349" spans="1:11" ht="18" customHeight="1">
      <c r="A349">
        <v>348</v>
      </c>
      <c r="B349" s="14">
        <v>46049</v>
      </c>
      <c r="C349" t="s">
        <v>11</v>
      </c>
      <c r="D349" t="s">
        <v>12</v>
      </c>
      <c r="E349" s="12">
        <v>6</v>
      </c>
      <c r="F349" t="s">
        <v>27</v>
      </c>
      <c r="G349" s="1">
        <v>140000</v>
      </c>
      <c r="H349" s="2">
        <f t="shared" si="6"/>
        <v>140</v>
      </c>
      <c r="I349" s="1" t="s">
        <v>24</v>
      </c>
      <c r="J349">
        <v>0</v>
      </c>
      <c r="K349" s="9">
        <v>0</v>
      </c>
    </row>
    <row r="350" spans="1:11" ht="18" customHeight="1">
      <c r="A350">
        <v>349</v>
      </c>
      <c r="B350" s="14">
        <v>46051</v>
      </c>
      <c r="C350" t="s">
        <v>11</v>
      </c>
      <c r="D350" t="s">
        <v>59</v>
      </c>
      <c r="E350" s="12">
        <v>1</v>
      </c>
      <c r="F350" t="s">
        <v>76</v>
      </c>
      <c r="G350" s="1">
        <v>10844.2</v>
      </c>
      <c r="H350" s="2">
        <f t="shared" si="6"/>
        <v>10.844200000000001</v>
      </c>
      <c r="I350" s="1" t="s">
        <v>24</v>
      </c>
      <c r="J350">
        <v>0</v>
      </c>
      <c r="K350" s="9">
        <v>0</v>
      </c>
    </row>
    <row r="351" spans="1:11" ht="18" customHeight="1">
      <c r="A351">
        <v>350</v>
      </c>
      <c r="B351" s="14">
        <v>46051</v>
      </c>
      <c r="C351" t="s">
        <v>11</v>
      </c>
      <c r="D351" t="s">
        <v>59</v>
      </c>
      <c r="E351" s="12">
        <v>1</v>
      </c>
      <c r="F351" t="s">
        <v>76</v>
      </c>
      <c r="G351" s="1">
        <v>9602.7999999999993</v>
      </c>
      <c r="H351" s="2">
        <f t="shared" si="6"/>
        <v>9.6027999999999984</v>
      </c>
      <c r="I351" s="1" t="s">
        <v>65</v>
      </c>
      <c r="J351">
        <v>0</v>
      </c>
      <c r="K351" s="9">
        <v>0</v>
      </c>
    </row>
    <row r="352" spans="1:11" ht="18" customHeight="1">
      <c r="A352">
        <v>351</v>
      </c>
      <c r="B352" s="14">
        <v>46056</v>
      </c>
      <c r="C352" t="s">
        <v>11</v>
      </c>
      <c r="D352" t="s">
        <v>59</v>
      </c>
      <c r="E352" s="12">
        <v>6</v>
      </c>
      <c r="F352" t="s">
        <v>27</v>
      </c>
      <c r="G352" s="1">
        <v>140000</v>
      </c>
      <c r="H352" s="2">
        <f t="shared" si="6"/>
        <v>140</v>
      </c>
      <c r="I352" s="1" t="s">
        <v>24</v>
      </c>
      <c r="J352">
        <v>0</v>
      </c>
      <c r="K352" s="9">
        <v>0</v>
      </c>
    </row>
    <row r="353" spans="1:11" ht="18" customHeight="1">
      <c r="A353">
        <v>352</v>
      </c>
      <c r="B353" s="14">
        <v>46058</v>
      </c>
      <c r="C353" t="s">
        <v>11</v>
      </c>
      <c r="D353" t="s">
        <v>12</v>
      </c>
      <c r="E353" s="12">
        <v>3</v>
      </c>
      <c r="F353" t="s">
        <v>27</v>
      </c>
      <c r="G353" s="1">
        <v>70000</v>
      </c>
      <c r="H353" s="2">
        <f t="shared" si="6"/>
        <v>70</v>
      </c>
      <c r="I353" s="1" t="s">
        <v>24</v>
      </c>
      <c r="J353">
        <v>0</v>
      </c>
      <c r="K353" s="9">
        <v>0</v>
      </c>
    </row>
    <row r="354" spans="1:11" ht="18" customHeight="1">
      <c r="A354">
        <v>353</v>
      </c>
      <c r="B354" s="14">
        <v>46064</v>
      </c>
      <c r="C354" t="s">
        <v>11</v>
      </c>
      <c r="D354" t="s">
        <v>59</v>
      </c>
      <c r="E354" s="12">
        <v>1</v>
      </c>
      <c r="F354" t="s">
        <v>87</v>
      </c>
      <c r="G354" s="1">
        <v>10665</v>
      </c>
      <c r="H354" s="2">
        <f t="shared" si="6"/>
        <v>10.664999999999999</v>
      </c>
      <c r="I354" s="1" t="s">
        <v>24</v>
      </c>
      <c r="J354">
        <v>0</v>
      </c>
      <c r="K354" s="9">
        <v>0</v>
      </c>
    </row>
    <row r="355" spans="1:11" ht="18" customHeight="1">
      <c r="A355">
        <v>354</v>
      </c>
      <c r="B355" s="14">
        <v>46065</v>
      </c>
      <c r="C355" t="s">
        <v>11</v>
      </c>
      <c r="D355" t="s">
        <v>59</v>
      </c>
      <c r="E355" s="12">
        <v>3</v>
      </c>
      <c r="F355" t="s">
        <v>27</v>
      </c>
      <c r="G355" s="1">
        <v>70000</v>
      </c>
      <c r="H355" s="2">
        <f t="shared" si="6"/>
        <v>70</v>
      </c>
      <c r="I355" s="1" t="s">
        <v>24</v>
      </c>
      <c r="J355">
        <v>0</v>
      </c>
      <c r="K355" s="9">
        <v>0</v>
      </c>
    </row>
    <row r="356" spans="1:11" ht="18" customHeight="1">
      <c r="A356">
        <v>355</v>
      </c>
      <c r="B356" s="14">
        <v>46066</v>
      </c>
      <c r="C356" t="s">
        <v>11</v>
      </c>
      <c r="D356" t="s">
        <v>12</v>
      </c>
      <c r="E356" s="12">
        <v>1</v>
      </c>
      <c r="F356" t="s">
        <v>27</v>
      </c>
      <c r="G356" s="1">
        <v>18960</v>
      </c>
      <c r="H356" s="2">
        <f t="shared" si="6"/>
        <v>18.96</v>
      </c>
      <c r="I356" s="1" t="s">
        <v>24</v>
      </c>
      <c r="J356">
        <v>0</v>
      </c>
      <c r="K356" s="9">
        <v>0</v>
      </c>
    </row>
    <row r="357" spans="1:11" ht="18" customHeight="1">
      <c r="A357">
        <v>356</v>
      </c>
      <c r="B357" s="14">
        <v>46072</v>
      </c>
      <c r="C357" t="s">
        <v>11</v>
      </c>
      <c r="D357" t="s">
        <v>12</v>
      </c>
      <c r="E357" s="12">
        <v>3</v>
      </c>
      <c r="F357" t="s">
        <v>27</v>
      </c>
      <c r="G357" s="1">
        <v>70000</v>
      </c>
      <c r="H357" s="2">
        <f t="shared" si="6"/>
        <v>70</v>
      </c>
      <c r="I357" s="1" t="s">
        <v>24</v>
      </c>
      <c r="J357">
        <v>0</v>
      </c>
      <c r="K357" s="9">
        <v>0</v>
      </c>
    </row>
    <row r="358" spans="1:11" ht="18" customHeight="1">
      <c r="A358">
        <v>357</v>
      </c>
      <c r="B358" s="14">
        <v>46077</v>
      </c>
      <c r="C358" t="s">
        <v>11</v>
      </c>
      <c r="D358" t="s">
        <v>59</v>
      </c>
      <c r="E358" s="12">
        <v>1</v>
      </c>
      <c r="F358" t="s">
        <v>76</v>
      </c>
      <c r="G358" s="1">
        <v>20050.599999999999</v>
      </c>
      <c r="H358" s="2">
        <f t="shared" si="6"/>
        <v>20.050599999999999</v>
      </c>
      <c r="I358" s="1" t="s">
        <v>65</v>
      </c>
      <c r="J358">
        <v>0</v>
      </c>
      <c r="K358" s="9">
        <v>0</v>
      </c>
    </row>
    <row r="359" spans="1:11" ht="18" customHeight="1">
      <c r="A359">
        <v>358</v>
      </c>
      <c r="B359" s="14">
        <v>46077</v>
      </c>
      <c r="C359" t="s">
        <v>11</v>
      </c>
      <c r="D359" t="s">
        <v>59</v>
      </c>
      <c r="E359" s="12">
        <v>1</v>
      </c>
      <c r="F359" t="s">
        <v>78</v>
      </c>
      <c r="G359" s="1">
        <v>10554.18</v>
      </c>
      <c r="H359" s="2">
        <f t="shared" si="6"/>
        <v>10.554180000000001</v>
      </c>
      <c r="I359" s="1" t="s">
        <v>24</v>
      </c>
      <c r="J359">
        <v>0</v>
      </c>
      <c r="K359" s="9">
        <v>0</v>
      </c>
    </row>
    <row r="360" spans="1:11" ht="18" customHeight="1">
      <c r="A360">
        <v>359</v>
      </c>
      <c r="B360" s="14">
        <v>46077</v>
      </c>
      <c r="C360" t="s">
        <v>11</v>
      </c>
      <c r="D360" t="s">
        <v>59</v>
      </c>
      <c r="E360" s="12">
        <v>1</v>
      </c>
      <c r="F360" t="s">
        <v>78</v>
      </c>
      <c r="G360" s="1">
        <v>7044.75</v>
      </c>
      <c r="H360" s="2">
        <f t="shared" si="6"/>
        <v>7.0447499999999996</v>
      </c>
      <c r="I360" s="1" t="s">
        <v>24</v>
      </c>
      <c r="J360">
        <v>0</v>
      </c>
      <c r="K360" s="9">
        <v>0</v>
      </c>
    </row>
    <row r="361" spans="1:11">
      <c r="A361">
        <v>360</v>
      </c>
      <c r="B361" s="14">
        <v>46092</v>
      </c>
      <c r="C361" t="s">
        <v>11</v>
      </c>
      <c r="D361" t="s">
        <v>12</v>
      </c>
      <c r="E361" s="1">
        <v>2</v>
      </c>
      <c r="F361" t="s">
        <v>13</v>
      </c>
      <c r="G361" s="1">
        <v>50000</v>
      </c>
      <c r="H361" s="2">
        <f t="shared" si="6"/>
        <v>50</v>
      </c>
      <c r="I361" s="1" t="s">
        <v>17</v>
      </c>
      <c r="J361">
        <v>0</v>
      </c>
      <c r="K361" s="9">
        <v>0</v>
      </c>
    </row>
    <row r="362" spans="1:11">
      <c r="A362">
        <v>361</v>
      </c>
      <c r="B362" s="15">
        <v>46092</v>
      </c>
      <c r="C362" s="16" t="s">
        <v>11</v>
      </c>
      <c r="D362" s="16" t="s">
        <v>59</v>
      </c>
      <c r="E362" s="1">
        <v>1</v>
      </c>
      <c r="F362" t="s">
        <v>88</v>
      </c>
      <c r="G362" s="1">
        <v>26000</v>
      </c>
      <c r="H362" s="2">
        <f t="shared" si="6"/>
        <v>26</v>
      </c>
      <c r="I362" s="1" t="s">
        <v>40</v>
      </c>
      <c r="J362">
        <v>0</v>
      </c>
      <c r="K362" s="9">
        <v>0</v>
      </c>
    </row>
    <row r="363" spans="1:11">
      <c r="A363">
        <v>362</v>
      </c>
      <c r="B363" s="11">
        <v>46092</v>
      </c>
      <c r="C363" t="s">
        <v>11</v>
      </c>
      <c r="D363" t="s">
        <v>59</v>
      </c>
      <c r="E363" s="1">
        <v>1</v>
      </c>
      <c r="F363" t="s">
        <v>76</v>
      </c>
      <c r="G363" s="1">
        <v>9620</v>
      </c>
      <c r="H363" s="2">
        <f t="shared" si="6"/>
        <v>9.6199999999999992</v>
      </c>
      <c r="I363" s="1" t="s">
        <v>24</v>
      </c>
      <c r="J363">
        <v>0</v>
      </c>
      <c r="K363" s="9">
        <v>0</v>
      </c>
    </row>
    <row r="364" spans="1:11">
      <c r="A364">
        <v>363</v>
      </c>
      <c r="B364" s="11">
        <v>46093</v>
      </c>
      <c r="C364" t="s">
        <v>11</v>
      </c>
      <c r="D364" t="s">
        <v>59</v>
      </c>
      <c r="E364" s="1">
        <v>5</v>
      </c>
      <c r="F364" t="s">
        <v>13</v>
      </c>
      <c r="G364" s="1">
        <v>125000</v>
      </c>
      <c r="H364" s="2">
        <f t="shared" si="6"/>
        <v>125</v>
      </c>
      <c r="I364" s="1" t="s">
        <v>17</v>
      </c>
      <c r="J364">
        <v>0</v>
      </c>
      <c r="K364" s="9" t="s">
        <v>89</v>
      </c>
    </row>
    <row r="365" spans="1:11">
      <c r="A365">
        <v>364</v>
      </c>
      <c r="B365" s="11">
        <v>46093</v>
      </c>
      <c r="C365" t="s">
        <v>11</v>
      </c>
      <c r="D365" t="s">
        <v>59</v>
      </c>
      <c r="E365" s="1">
        <v>1</v>
      </c>
      <c r="F365" t="s">
        <v>78</v>
      </c>
      <c r="G365" s="1">
        <v>10665</v>
      </c>
      <c r="H365" s="2">
        <f t="shared" si="6"/>
        <v>10.664999999999999</v>
      </c>
      <c r="I365" s="1" t="s">
        <v>24</v>
      </c>
      <c r="J365">
        <v>0</v>
      </c>
      <c r="K365" s="9" t="s">
        <v>89</v>
      </c>
    </row>
    <row r="366" spans="1:11">
      <c r="A366">
        <v>365</v>
      </c>
      <c r="B366" s="11">
        <v>46093</v>
      </c>
      <c r="C366" t="s">
        <v>11</v>
      </c>
      <c r="D366" t="s">
        <v>59</v>
      </c>
      <c r="E366" s="1">
        <v>1</v>
      </c>
      <c r="F366" t="s">
        <v>78</v>
      </c>
      <c r="G366" s="1">
        <v>9065.25</v>
      </c>
      <c r="H366" s="2">
        <f t="shared" si="6"/>
        <v>9.0652500000000007</v>
      </c>
      <c r="I366" s="1" t="s">
        <v>24</v>
      </c>
      <c r="J366">
        <v>0</v>
      </c>
      <c r="K366" s="9" t="s">
        <v>89</v>
      </c>
    </row>
    <row r="367" spans="1:11">
      <c r="A367">
        <v>366</v>
      </c>
      <c r="B367" s="11">
        <v>46098</v>
      </c>
      <c r="C367" t="s">
        <v>11</v>
      </c>
      <c r="D367" t="s">
        <v>59</v>
      </c>
      <c r="E367" s="1">
        <v>6</v>
      </c>
      <c r="F367" t="s">
        <v>13</v>
      </c>
      <c r="G367" s="1">
        <v>150000</v>
      </c>
      <c r="H367" s="2">
        <f t="shared" si="6"/>
        <v>150</v>
      </c>
      <c r="I367" s="1" t="s">
        <v>17</v>
      </c>
      <c r="J367">
        <v>0</v>
      </c>
      <c r="K367" s="9">
        <v>0</v>
      </c>
    </row>
    <row r="368" spans="1:11">
      <c r="A368">
        <v>367</v>
      </c>
      <c r="B368" s="11">
        <v>46106</v>
      </c>
      <c r="C368" t="s">
        <v>11</v>
      </c>
      <c r="D368" t="s">
        <v>59</v>
      </c>
      <c r="E368" s="1">
        <v>3</v>
      </c>
      <c r="F368" t="s">
        <v>90</v>
      </c>
      <c r="H368" s="2">
        <v>75</v>
      </c>
      <c r="I368" s="1" t="s">
        <v>17</v>
      </c>
      <c r="J368">
        <v>0</v>
      </c>
      <c r="K368" s="9">
        <v>0</v>
      </c>
    </row>
    <row r="369" spans="1:11">
      <c r="A369">
        <v>368</v>
      </c>
      <c r="B369" s="11">
        <v>46106</v>
      </c>
      <c r="C369" t="s">
        <v>11</v>
      </c>
      <c r="D369" t="s">
        <v>59</v>
      </c>
      <c r="E369" s="1">
        <v>3</v>
      </c>
      <c r="F369" t="s">
        <v>90</v>
      </c>
      <c r="H369" s="2">
        <v>75</v>
      </c>
      <c r="I369" s="1" t="s">
        <v>17</v>
      </c>
      <c r="J369">
        <v>0</v>
      </c>
      <c r="K369" s="9">
        <v>0</v>
      </c>
    </row>
    <row r="370" spans="1:11">
      <c r="A370">
        <v>369</v>
      </c>
      <c r="B370" s="11">
        <v>46107</v>
      </c>
      <c r="C370" t="s">
        <v>11</v>
      </c>
      <c r="D370" t="s">
        <v>12</v>
      </c>
      <c r="E370" s="1">
        <v>3</v>
      </c>
      <c r="F370" t="s">
        <v>91</v>
      </c>
      <c r="H370" s="2">
        <v>70</v>
      </c>
      <c r="I370" s="1" t="s">
        <v>24</v>
      </c>
      <c r="J370">
        <v>0</v>
      </c>
      <c r="K370" s="9">
        <v>0</v>
      </c>
    </row>
    <row r="371" spans="1:11">
      <c r="A371">
        <v>370</v>
      </c>
      <c r="B371" s="11">
        <v>46107</v>
      </c>
      <c r="C371" t="s">
        <v>11</v>
      </c>
      <c r="D371" t="s">
        <v>12</v>
      </c>
      <c r="E371" s="1">
        <v>3</v>
      </c>
      <c r="F371" t="s">
        <v>92</v>
      </c>
      <c r="H371" s="2">
        <v>70</v>
      </c>
      <c r="I371" s="1" t="s">
        <v>24</v>
      </c>
      <c r="J371">
        <v>0</v>
      </c>
      <c r="K371" s="9">
        <v>0</v>
      </c>
    </row>
    <row r="372" spans="1:11">
      <c r="A372">
        <v>371</v>
      </c>
      <c r="B372" s="11">
        <v>46120</v>
      </c>
      <c r="C372" t="s">
        <v>11</v>
      </c>
      <c r="D372" t="s">
        <v>12</v>
      </c>
      <c r="E372" s="1">
        <v>1</v>
      </c>
      <c r="F372" t="s">
        <v>27</v>
      </c>
      <c r="H372" s="2">
        <v>19380</v>
      </c>
      <c r="I372" s="1" t="s">
        <v>93</v>
      </c>
      <c r="J372">
        <v>0</v>
      </c>
      <c r="K372" s="9">
        <v>0</v>
      </c>
    </row>
    <row r="373" spans="1:11">
      <c r="A373">
        <v>372</v>
      </c>
      <c r="B373" s="11">
        <v>46120</v>
      </c>
      <c r="C373" t="s">
        <v>11</v>
      </c>
      <c r="D373" t="s">
        <v>59</v>
      </c>
      <c r="E373" s="1">
        <v>2</v>
      </c>
      <c r="F373" t="s">
        <v>13</v>
      </c>
      <c r="H373" s="2">
        <v>50000</v>
      </c>
      <c r="I373" s="1" t="s">
        <v>24</v>
      </c>
      <c r="J373">
        <v>0</v>
      </c>
      <c r="K373" s="9">
        <v>0</v>
      </c>
    </row>
    <row r="374" spans="1:11">
      <c r="A374">
        <v>373</v>
      </c>
      <c r="B374" s="11">
        <v>46121</v>
      </c>
      <c r="C374" t="s">
        <v>11</v>
      </c>
      <c r="D374" t="s">
        <v>12</v>
      </c>
      <c r="E374" s="1">
        <v>1</v>
      </c>
      <c r="F374" t="s">
        <v>27</v>
      </c>
      <c r="H374" s="2">
        <v>28420</v>
      </c>
      <c r="I374" s="1" t="s">
        <v>94</v>
      </c>
      <c r="J374">
        <v>0</v>
      </c>
      <c r="K374" s="9">
        <v>0</v>
      </c>
    </row>
    <row r="375" spans="1:11">
      <c r="A375">
        <v>374</v>
      </c>
      <c r="B375" s="11">
        <v>46121</v>
      </c>
      <c r="C375" t="s">
        <v>11</v>
      </c>
      <c r="D375" t="s">
        <v>59</v>
      </c>
      <c r="E375" s="1">
        <v>1</v>
      </c>
      <c r="F375" t="s">
        <v>78</v>
      </c>
      <c r="H375" s="2">
        <v>10665</v>
      </c>
      <c r="I375" s="1" t="s">
        <v>24</v>
      </c>
      <c r="J375">
        <v>0</v>
      </c>
      <c r="K375" s="9">
        <v>0</v>
      </c>
    </row>
    <row r="376" spans="1:11">
      <c r="A376">
        <v>375</v>
      </c>
      <c r="B376" s="11">
        <v>46126</v>
      </c>
      <c r="C376" t="s">
        <v>11</v>
      </c>
      <c r="D376" t="s">
        <v>59</v>
      </c>
      <c r="E376" s="1">
        <v>2</v>
      </c>
      <c r="F376" t="s">
        <v>95</v>
      </c>
      <c r="H376" s="2">
        <v>41340</v>
      </c>
      <c r="I376" s="1" t="s">
        <v>65</v>
      </c>
      <c r="J376" s="1">
        <v>0</v>
      </c>
    </row>
    <row r="377" spans="1:11">
      <c r="A377">
        <v>376</v>
      </c>
      <c r="B377" s="11">
        <v>46127</v>
      </c>
      <c r="C377" t="s">
        <v>11</v>
      </c>
      <c r="D377" t="s">
        <v>59</v>
      </c>
      <c r="F377" t="s">
        <v>95</v>
      </c>
      <c r="I377" s="1" t="s">
        <v>47</v>
      </c>
      <c r="J377" s="1" t="s">
        <v>96</v>
      </c>
    </row>
    <row r="378" spans="1:11">
      <c r="A378">
        <v>377</v>
      </c>
      <c r="B378" s="11">
        <v>46127</v>
      </c>
      <c r="C378" t="s">
        <v>11</v>
      </c>
      <c r="D378" t="s">
        <v>59</v>
      </c>
      <c r="F378" t="s">
        <v>95</v>
      </c>
      <c r="I378" s="1" t="s">
        <v>97</v>
      </c>
      <c r="J378" s="1">
        <v>44229</v>
      </c>
    </row>
    <row r="379" spans="1:11">
      <c r="A379">
        <v>378</v>
      </c>
      <c r="B379" s="11">
        <v>46127</v>
      </c>
      <c r="C379" t="s">
        <v>11</v>
      </c>
      <c r="D379" t="s">
        <v>59</v>
      </c>
      <c r="F379" t="s">
        <v>95</v>
      </c>
      <c r="I379" s="1" t="s">
        <v>47</v>
      </c>
      <c r="J379" s="1" t="s">
        <v>98</v>
      </c>
    </row>
    <row r="380" spans="1:11">
      <c r="A380">
        <v>379</v>
      </c>
      <c r="B380" s="11">
        <v>46127</v>
      </c>
      <c r="C380" t="s">
        <v>11</v>
      </c>
      <c r="D380" t="s">
        <v>59</v>
      </c>
      <c r="F380" t="s">
        <v>95</v>
      </c>
      <c r="I380" s="1" t="s">
        <v>34</v>
      </c>
      <c r="J380" s="1" t="s">
        <v>99</v>
      </c>
      <c r="K380">
        <f>SUM(K2:K371)/1000</f>
        <v>1494.36</v>
      </c>
    </row>
    <row r="381" spans="1:11">
      <c r="A381">
        <v>380</v>
      </c>
      <c r="B381" s="11">
        <v>46128</v>
      </c>
      <c r="C381" t="s">
        <v>11</v>
      </c>
      <c r="D381" t="s">
        <v>59</v>
      </c>
      <c r="E381" s="1">
        <v>1</v>
      </c>
      <c r="F381" t="s">
        <v>100</v>
      </c>
      <c r="H381" s="2">
        <v>8337</v>
      </c>
      <c r="I381" s="1" t="s">
        <v>101</v>
      </c>
      <c r="J381" s="1">
        <v>0</v>
      </c>
    </row>
    <row r="382" spans="1:11">
      <c r="A382">
        <v>381</v>
      </c>
      <c r="B382" s="11">
        <v>46128</v>
      </c>
      <c r="C382" t="s">
        <v>11</v>
      </c>
      <c r="D382" t="s">
        <v>59</v>
      </c>
      <c r="E382" s="1">
        <v>1</v>
      </c>
      <c r="F382" t="s">
        <v>100</v>
      </c>
      <c r="H382" s="2">
        <v>10665</v>
      </c>
      <c r="I382" s="1" t="s">
        <v>24</v>
      </c>
      <c r="J382" s="1">
        <v>0</v>
      </c>
    </row>
    <row r="383" spans="1:11">
      <c r="A383">
        <v>382</v>
      </c>
      <c r="B383" s="11">
        <v>46134</v>
      </c>
      <c r="C383" t="s">
        <v>11</v>
      </c>
      <c r="D383" t="s">
        <v>59</v>
      </c>
      <c r="E383" s="1">
        <v>4</v>
      </c>
      <c r="F383" t="s">
        <v>100</v>
      </c>
      <c r="H383" s="2">
        <v>100000</v>
      </c>
      <c r="I383" s="1" t="s">
        <v>15</v>
      </c>
      <c r="J383" s="1">
        <v>0</v>
      </c>
    </row>
    <row r="384" spans="1:11">
      <c r="A384">
        <v>383</v>
      </c>
      <c r="B384" s="11">
        <v>46139</v>
      </c>
      <c r="C384" t="s">
        <v>11</v>
      </c>
      <c r="D384" t="s">
        <v>59</v>
      </c>
      <c r="E384" s="1">
        <v>1</v>
      </c>
      <c r="F384" t="s">
        <v>100</v>
      </c>
      <c r="H384" s="2">
        <v>9290</v>
      </c>
      <c r="I384" s="1" t="s">
        <v>75</v>
      </c>
      <c r="J384" s="1">
        <v>0</v>
      </c>
    </row>
    <row r="385" spans="1:10">
      <c r="A385">
        <v>384</v>
      </c>
      <c r="B385" s="11">
        <v>46139</v>
      </c>
      <c r="C385" t="s">
        <v>11</v>
      </c>
      <c r="D385" t="s">
        <v>59</v>
      </c>
      <c r="E385" s="1">
        <v>1</v>
      </c>
      <c r="F385" t="s">
        <v>100</v>
      </c>
      <c r="H385" s="2">
        <v>8560</v>
      </c>
      <c r="I385" s="1" t="s">
        <v>26</v>
      </c>
      <c r="J385" s="1">
        <v>0</v>
      </c>
    </row>
    <row r="386" spans="1:10">
      <c r="A386">
        <v>385</v>
      </c>
      <c r="B386" s="11">
        <v>46140</v>
      </c>
      <c r="C386" t="s">
        <v>11</v>
      </c>
      <c r="D386" t="s">
        <v>59</v>
      </c>
      <c r="E386" s="1">
        <v>1</v>
      </c>
      <c r="F386" t="s">
        <v>100</v>
      </c>
      <c r="H386" s="2">
        <v>8652</v>
      </c>
      <c r="I386" s="1" t="s">
        <v>24</v>
      </c>
      <c r="J386" s="1">
        <v>0</v>
      </c>
    </row>
    <row r="387" spans="1:10">
      <c r="A387">
        <v>386</v>
      </c>
      <c r="B387" s="11">
        <v>46149</v>
      </c>
      <c r="C387" t="s">
        <v>11</v>
      </c>
      <c r="D387" t="s">
        <v>59</v>
      </c>
      <c r="E387" s="1">
        <v>1</v>
      </c>
      <c r="F387" t="s">
        <v>95</v>
      </c>
      <c r="H387" s="2">
        <v>11520</v>
      </c>
      <c r="I387" s="1" t="s">
        <v>65</v>
      </c>
      <c r="J387" s="1">
        <v>0</v>
      </c>
    </row>
    <row r="388" spans="1:10">
      <c r="A388">
        <v>387</v>
      </c>
      <c r="B388" s="11">
        <v>45790</v>
      </c>
      <c r="C388" t="s">
        <v>11</v>
      </c>
      <c r="D388" t="s">
        <v>59</v>
      </c>
      <c r="E388" s="1">
        <v>1</v>
      </c>
      <c r="F388" t="s">
        <v>100</v>
      </c>
      <c r="H388" s="2">
        <v>9447.5</v>
      </c>
      <c r="I388" s="1" t="s">
        <v>24</v>
      </c>
      <c r="J388" s="1">
        <v>0</v>
      </c>
    </row>
    <row r="389" spans="1:10">
      <c r="A389">
        <v>388</v>
      </c>
      <c r="B389" s="11">
        <v>46156</v>
      </c>
      <c r="C389" t="s">
        <v>11</v>
      </c>
      <c r="D389" t="s">
        <v>59</v>
      </c>
      <c r="E389" s="1">
        <v>3</v>
      </c>
      <c r="F389" t="s">
        <v>95</v>
      </c>
      <c r="H389" s="2">
        <v>0</v>
      </c>
      <c r="I389" s="1" t="s">
        <v>89</v>
      </c>
      <c r="J389" s="1">
        <v>52995.6</v>
      </c>
    </row>
    <row r="390" spans="1:10">
      <c r="A390">
        <v>389</v>
      </c>
      <c r="B390" s="11">
        <v>46156</v>
      </c>
      <c r="C390" t="s">
        <v>11</v>
      </c>
      <c r="D390" t="s">
        <v>59</v>
      </c>
      <c r="E390" s="1">
        <v>3</v>
      </c>
      <c r="F390" t="s">
        <v>95</v>
      </c>
      <c r="H390" s="2">
        <v>0</v>
      </c>
      <c r="I390" s="1" t="s">
        <v>89</v>
      </c>
      <c r="J390" s="1">
        <v>52995.6</v>
      </c>
    </row>
    <row r="391" spans="1:10">
      <c r="A391">
        <v>390</v>
      </c>
      <c r="B391" s="11">
        <v>46157</v>
      </c>
      <c r="C391" t="s">
        <v>11</v>
      </c>
      <c r="D391" t="s">
        <v>59</v>
      </c>
      <c r="E391" s="1">
        <v>1</v>
      </c>
      <c r="F391" t="s">
        <v>95</v>
      </c>
      <c r="H391" s="2">
        <v>0</v>
      </c>
      <c r="I391" s="1" t="s">
        <v>89</v>
      </c>
      <c r="J391" s="1">
        <v>4356</v>
      </c>
    </row>
    <row r="392" spans="1:10">
      <c r="A392">
        <v>391</v>
      </c>
      <c r="B392" s="11">
        <v>46157</v>
      </c>
      <c r="C392" t="s">
        <v>102</v>
      </c>
      <c r="D392" t="s">
        <v>59</v>
      </c>
      <c r="F392" t="s">
        <v>100</v>
      </c>
      <c r="H392" s="2">
        <v>1175</v>
      </c>
      <c r="I392" s="1" t="s">
        <v>47</v>
      </c>
      <c r="J392" s="1">
        <v>0</v>
      </c>
    </row>
    <row r="393" spans="1:10">
      <c r="A393">
        <v>392</v>
      </c>
      <c r="B393" s="11">
        <v>46169</v>
      </c>
      <c r="C393" t="s">
        <v>11</v>
      </c>
      <c r="D393" t="s">
        <v>59</v>
      </c>
      <c r="E393" s="1">
        <v>1</v>
      </c>
      <c r="F393" t="s">
        <v>100</v>
      </c>
      <c r="H393" s="2">
        <v>8500</v>
      </c>
      <c r="I393" s="1" t="s">
        <v>26</v>
      </c>
      <c r="J393" s="1"/>
    </row>
    <row r="394" spans="1:10">
      <c r="A394">
        <v>393</v>
      </c>
      <c r="B394" s="11">
        <v>46169</v>
      </c>
      <c r="C394" t="s">
        <v>11</v>
      </c>
      <c r="D394" t="s">
        <v>59</v>
      </c>
      <c r="E394" s="1">
        <v>1</v>
      </c>
      <c r="F394" t="s">
        <v>100</v>
      </c>
      <c r="H394" s="2">
        <v>9718</v>
      </c>
      <c r="I394" s="1" t="s">
        <v>24</v>
      </c>
      <c r="J394" s="1"/>
    </row>
    <row r="395" spans="1:10">
      <c r="A395">
        <v>394</v>
      </c>
      <c r="B395" s="11">
        <v>46170</v>
      </c>
      <c r="C395" t="s">
        <v>11</v>
      </c>
      <c r="D395" t="s">
        <v>59</v>
      </c>
      <c r="E395" s="1">
        <v>1</v>
      </c>
      <c r="F395" t="s">
        <v>100</v>
      </c>
      <c r="H395" s="2">
        <v>10340</v>
      </c>
      <c r="I395" s="1" t="s">
        <v>24</v>
      </c>
      <c r="J395" s="1"/>
    </row>
    <row r="396" spans="1:10">
      <c r="A396">
        <v>395</v>
      </c>
      <c r="B396" s="11">
        <v>46176</v>
      </c>
      <c r="C396" t="s">
        <v>11</v>
      </c>
      <c r="D396" t="s">
        <v>59</v>
      </c>
      <c r="E396" s="1">
        <v>2</v>
      </c>
      <c r="F396" t="s">
        <v>103</v>
      </c>
      <c r="H396" s="2">
        <v>46000</v>
      </c>
      <c r="I396" s="1" t="s">
        <v>104</v>
      </c>
      <c r="J396" s="1">
        <v>0</v>
      </c>
    </row>
    <row r="397" spans="1:10">
      <c r="A397">
        <v>396</v>
      </c>
      <c r="B397" s="11">
        <v>46178</v>
      </c>
      <c r="C397" t="s">
        <v>11</v>
      </c>
      <c r="D397" t="s">
        <v>12</v>
      </c>
      <c r="E397" s="1">
        <v>1</v>
      </c>
      <c r="F397" t="s">
        <v>103</v>
      </c>
      <c r="G397" s="1">
        <v>25340</v>
      </c>
      <c r="H397" s="2">
        <v>25.34</v>
      </c>
      <c r="I397" s="1" t="s">
        <v>94</v>
      </c>
      <c r="J397" s="1">
        <v>0</v>
      </c>
    </row>
    <row r="398" spans="1:10">
      <c r="A398">
        <v>397</v>
      </c>
      <c r="B398" s="11">
        <v>46178</v>
      </c>
      <c r="C398" t="s">
        <v>11</v>
      </c>
      <c r="D398" t="s">
        <v>59</v>
      </c>
      <c r="F398" t="s">
        <v>95</v>
      </c>
      <c r="H398" s="2">
        <v>0</v>
      </c>
      <c r="I398" s="1" t="s">
        <v>89</v>
      </c>
      <c r="J398" s="1">
        <v>2420</v>
      </c>
    </row>
    <row r="399" spans="1:10">
      <c r="A399">
        <v>398</v>
      </c>
      <c r="B399" s="11">
        <v>46183</v>
      </c>
      <c r="C399" t="s">
        <v>11</v>
      </c>
      <c r="D399" t="s">
        <v>12</v>
      </c>
      <c r="E399" s="1">
        <v>1</v>
      </c>
      <c r="F399" t="s">
        <v>105</v>
      </c>
      <c r="G399" s="1">
        <v>19200</v>
      </c>
      <c r="H399" s="2">
        <v>19.2</v>
      </c>
      <c r="I399" s="1" t="s">
        <v>34</v>
      </c>
      <c r="J399" s="1">
        <v>0</v>
      </c>
    </row>
    <row r="400" spans="1:10">
      <c r="A400">
        <v>399</v>
      </c>
      <c r="B400" s="11">
        <v>46183</v>
      </c>
      <c r="C400" t="s">
        <v>11</v>
      </c>
      <c r="D400" t="s">
        <v>59</v>
      </c>
      <c r="E400" s="1">
        <v>1</v>
      </c>
      <c r="F400" t="s">
        <v>105</v>
      </c>
      <c r="H400" s="2">
        <v>10665</v>
      </c>
      <c r="I400" s="1" t="s">
        <v>24</v>
      </c>
      <c r="J400" s="1">
        <v>0</v>
      </c>
    </row>
    <row r="401" spans="1:10">
      <c r="A401">
        <v>400</v>
      </c>
      <c r="B401" s="11">
        <v>46183</v>
      </c>
      <c r="C401" t="s">
        <v>11</v>
      </c>
      <c r="D401" t="s">
        <v>59</v>
      </c>
      <c r="E401" s="1">
        <v>1</v>
      </c>
      <c r="F401" t="s">
        <v>105</v>
      </c>
      <c r="H401" s="2">
        <v>10665</v>
      </c>
      <c r="I401" s="1" t="s">
        <v>24</v>
      </c>
      <c r="J401" s="1">
        <v>0</v>
      </c>
    </row>
    <row r="402" spans="1:10">
      <c r="A402">
        <v>401</v>
      </c>
      <c r="B402" s="11">
        <v>46184</v>
      </c>
      <c r="C402" t="s">
        <v>11</v>
      </c>
      <c r="D402" t="s">
        <v>12</v>
      </c>
      <c r="E402" s="1">
        <v>1</v>
      </c>
      <c r="F402" t="s">
        <v>103</v>
      </c>
      <c r="G402" s="1">
        <v>28420</v>
      </c>
      <c r="H402" s="2">
        <v>28.42</v>
      </c>
      <c r="I402" s="1" t="s">
        <v>94</v>
      </c>
      <c r="J402" s="1">
        <v>0</v>
      </c>
    </row>
    <row r="403" spans="1:10">
      <c r="A403">
        <v>402</v>
      </c>
      <c r="B403" s="11">
        <v>46184</v>
      </c>
      <c r="C403" t="s">
        <v>11</v>
      </c>
      <c r="D403" t="s">
        <v>12</v>
      </c>
      <c r="E403" s="1">
        <v>1</v>
      </c>
      <c r="F403" t="s">
        <v>103</v>
      </c>
      <c r="G403" s="1">
        <v>28420</v>
      </c>
      <c r="H403" s="2">
        <v>28.42</v>
      </c>
      <c r="I403" s="1" t="s">
        <v>94</v>
      </c>
      <c r="J403" s="1">
        <v>0</v>
      </c>
    </row>
    <row r="404" spans="1:10">
      <c r="A404">
        <v>403</v>
      </c>
      <c r="B404" s="11">
        <v>46184</v>
      </c>
      <c r="C404" t="s">
        <v>11</v>
      </c>
      <c r="D404" t="s">
        <v>59</v>
      </c>
      <c r="E404" s="1">
        <v>1</v>
      </c>
      <c r="F404" t="s">
        <v>105</v>
      </c>
      <c r="H404" s="2">
        <v>8304</v>
      </c>
      <c r="I404" s="1" t="s">
        <v>24</v>
      </c>
      <c r="J404" s="1">
        <v>0</v>
      </c>
    </row>
    <row r="405" spans="1:10">
      <c r="A405">
        <v>404</v>
      </c>
      <c r="B405" s="11">
        <v>46184</v>
      </c>
      <c r="C405" t="s">
        <v>11</v>
      </c>
      <c r="D405" t="s">
        <v>59</v>
      </c>
      <c r="E405" s="1">
        <v>1</v>
      </c>
      <c r="F405" t="s">
        <v>105</v>
      </c>
      <c r="H405" s="2">
        <v>3510</v>
      </c>
      <c r="I405" s="1" t="s">
        <v>24</v>
      </c>
      <c r="J405" s="1">
        <v>0</v>
      </c>
    </row>
    <row r="406" spans="1:10">
      <c r="A406">
        <v>405</v>
      </c>
      <c r="B406" s="11">
        <v>46190</v>
      </c>
      <c r="C406" t="s">
        <v>11</v>
      </c>
      <c r="D406" t="s">
        <v>59</v>
      </c>
      <c r="E406" s="1">
        <v>1</v>
      </c>
      <c r="F406" t="s">
        <v>95</v>
      </c>
      <c r="H406" s="2">
        <v>9000</v>
      </c>
      <c r="I406" s="1" t="s">
        <v>24</v>
      </c>
      <c r="J406" s="1">
        <v>0</v>
      </c>
    </row>
    <row r="407" spans="1:10" s="18" customFormat="1">
      <c r="A407" s="18">
        <v>406</v>
      </c>
      <c r="B407" s="19">
        <v>46203</v>
      </c>
      <c r="C407" s="18" t="s">
        <v>11</v>
      </c>
      <c r="D407" s="18" t="s">
        <v>59</v>
      </c>
      <c r="E407" s="20"/>
      <c r="F407" s="18" t="s">
        <v>95</v>
      </c>
      <c r="G407" s="20"/>
      <c r="H407" s="21">
        <v>0</v>
      </c>
      <c r="I407" s="20" t="s">
        <v>89</v>
      </c>
      <c r="J407" s="18">
        <v>15079.58</v>
      </c>
    </row>
    <row r="408" spans="1:10">
      <c r="A408">
        <v>407</v>
      </c>
      <c r="B408" s="17">
        <v>46203</v>
      </c>
      <c r="C408" t="s">
        <v>11</v>
      </c>
      <c r="D408" t="s">
        <v>59</v>
      </c>
      <c r="F408" t="s">
        <v>95</v>
      </c>
      <c r="H408" s="2">
        <v>0</v>
      </c>
      <c r="I408" s="1" t="s">
        <v>89</v>
      </c>
      <c r="J408">
        <v>15079.58</v>
      </c>
    </row>
    <row r="409" spans="1:10">
      <c r="A409">
        <v>408</v>
      </c>
      <c r="B409" s="17">
        <v>46210</v>
      </c>
      <c r="C409" t="s">
        <v>11</v>
      </c>
      <c r="D409" t="s">
        <v>59</v>
      </c>
      <c r="E409" s="1">
        <v>1</v>
      </c>
      <c r="F409" t="s">
        <v>95</v>
      </c>
      <c r="H409" s="2">
        <v>10080</v>
      </c>
      <c r="I409" s="1" t="s">
        <v>65</v>
      </c>
      <c r="J409">
        <v>0</v>
      </c>
    </row>
    <row r="410" spans="1:10">
      <c r="A410">
        <v>409</v>
      </c>
      <c r="B410" s="17">
        <v>46210</v>
      </c>
      <c r="C410" t="s">
        <v>11</v>
      </c>
      <c r="D410" t="s">
        <v>12</v>
      </c>
      <c r="F410" t="s">
        <v>106</v>
      </c>
      <c r="I410" s="1" t="s">
        <v>107</v>
      </c>
      <c r="J410">
        <v>0</v>
      </c>
    </row>
    <row r="411" spans="1:10">
      <c r="A411">
        <v>410</v>
      </c>
      <c r="B411" s="17">
        <v>46211</v>
      </c>
      <c r="C411" t="s">
        <v>11</v>
      </c>
      <c r="D411" t="s">
        <v>59</v>
      </c>
      <c r="E411" s="1">
        <v>1</v>
      </c>
      <c r="F411" t="s">
        <v>105</v>
      </c>
      <c r="H411" s="2">
        <v>10665</v>
      </c>
      <c r="I411" s="1" t="s">
        <v>24</v>
      </c>
      <c r="J411">
        <v>0</v>
      </c>
    </row>
    <row r="412" spans="1:10">
      <c r="A412">
        <v>411</v>
      </c>
      <c r="B412" s="17">
        <v>46211</v>
      </c>
      <c r="C412" t="s">
        <v>11</v>
      </c>
      <c r="D412" t="s">
        <v>59</v>
      </c>
      <c r="E412" s="1">
        <v>1</v>
      </c>
      <c r="F412" t="s">
        <v>105</v>
      </c>
      <c r="H412" s="2">
        <v>3308</v>
      </c>
      <c r="I412" s="1" t="s">
        <v>24</v>
      </c>
      <c r="J412">
        <v>0</v>
      </c>
    </row>
    <row r="413" spans="1:10">
      <c r="A413">
        <v>412</v>
      </c>
      <c r="B413" s="17">
        <v>46212</v>
      </c>
      <c r="C413" t="s">
        <v>11</v>
      </c>
      <c r="D413" t="s">
        <v>59</v>
      </c>
      <c r="E413" s="1">
        <v>1</v>
      </c>
      <c r="F413" t="s">
        <v>105</v>
      </c>
      <c r="H413" s="2">
        <v>10665</v>
      </c>
      <c r="I413" s="1" t="s">
        <v>24</v>
      </c>
      <c r="J413">
        <v>0</v>
      </c>
    </row>
    <row r="414" spans="1:10">
      <c r="A414">
        <v>413</v>
      </c>
      <c r="B414" s="17">
        <v>46219</v>
      </c>
      <c r="C414" t="s">
        <v>11</v>
      </c>
      <c r="D414" t="s">
        <v>59</v>
      </c>
      <c r="E414" s="1">
        <v>1</v>
      </c>
      <c r="F414" t="s">
        <v>105</v>
      </c>
      <c r="H414" s="2">
        <v>9710.7000000000007</v>
      </c>
      <c r="I414" s="1" t="s">
        <v>24</v>
      </c>
      <c r="J414">
        <v>0</v>
      </c>
    </row>
    <row r="415" spans="1:10">
      <c r="A415">
        <v>414</v>
      </c>
      <c r="B415" s="17">
        <v>46219</v>
      </c>
      <c r="C415" t="s">
        <v>11</v>
      </c>
      <c r="D415" t="s">
        <v>59</v>
      </c>
      <c r="E415" s="1">
        <v>1</v>
      </c>
      <c r="F415" t="s">
        <v>105</v>
      </c>
      <c r="H415" s="2">
        <v>4447.1000000000004</v>
      </c>
      <c r="I415" s="1" t="s">
        <v>24</v>
      </c>
      <c r="J415">
        <v>0</v>
      </c>
    </row>
    <row r="416" spans="1:10">
      <c r="A416">
        <v>415</v>
      </c>
      <c r="B416" s="17">
        <v>46225</v>
      </c>
      <c r="C416" t="s">
        <v>11</v>
      </c>
      <c r="D416" t="s">
        <v>12</v>
      </c>
      <c r="E416" s="1">
        <v>1</v>
      </c>
      <c r="F416" t="s">
        <v>103</v>
      </c>
      <c r="H416" s="2">
        <v>24000</v>
      </c>
      <c r="I416" s="1" t="s">
        <v>20</v>
      </c>
      <c r="J416">
        <v>0</v>
      </c>
    </row>
    <row r="417" spans="1:10">
      <c r="A417">
        <v>416</v>
      </c>
      <c r="B417" s="17">
        <v>46225</v>
      </c>
      <c r="C417" t="s">
        <v>11</v>
      </c>
      <c r="D417" t="s">
        <v>59</v>
      </c>
      <c r="E417" s="1">
        <v>1</v>
      </c>
      <c r="F417" t="s">
        <v>105</v>
      </c>
      <c r="H417" s="2">
        <v>10063</v>
      </c>
      <c r="I417" s="1" t="s">
        <v>75</v>
      </c>
      <c r="J417">
        <v>0</v>
      </c>
    </row>
    <row r="418" spans="1:10">
      <c r="A418">
        <v>417</v>
      </c>
      <c r="B418" s="17">
        <v>46232</v>
      </c>
      <c r="C418" t="s">
        <v>11</v>
      </c>
      <c r="D418" t="s">
        <v>12</v>
      </c>
      <c r="E418" s="1">
        <v>1</v>
      </c>
      <c r="F418" t="s">
        <v>105</v>
      </c>
      <c r="H418" s="2">
        <v>19200</v>
      </c>
      <c r="I418" s="1" t="s">
        <v>34</v>
      </c>
      <c r="J418">
        <v>0</v>
      </c>
    </row>
    <row r="419" spans="1:10">
      <c r="A419">
        <v>418</v>
      </c>
      <c r="B419" s="17">
        <v>46233</v>
      </c>
      <c r="C419" t="s">
        <v>11</v>
      </c>
      <c r="D419" t="s">
        <v>59</v>
      </c>
      <c r="E419" s="1">
        <v>2</v>
      </c>
      <c r="F419" t="s">
        <v>103</v>
      </c>
      <c r="H419" s="2">
        <v>43500</v>
      </c>
      <c r="I419" s="1" t="s">
        <v>108</v>
      </c>
      <c r="J419">
        <v>0</v>
      </c>
    </row>
    <row r="420" spans="1:10">
      <c r="A420">
        <v>419</v>
      </c>
      <c r="B420" s="17">
        <v>46116</v>
      </c>
      <c r="C420" t="s">
        <v>11</v>
      </c>
      <c r="D420" t="s">
        <v>12</v>
      </c>
      <c r="E420" s="1">
        <v>1</v>
      </c>
      <c r="F420" t="s">
        <v>106</v>
      </c>
      <c r="H420" s="2">
        <v>24900</v>
      </c>
      <c r="I420" s="1" t="s">
        <v>34</v>
      </c>
      <c r="J420">
        <v>0</v>
      </c>
    </row>
    <row r="421" spans="1:10">
      <c r="A421">
        <v>420</v>
      </c>
      <c r="B421" s="17">
        <v>46241</v>
      </c>
      <c r="C421" t="s">
        <v>11</v>
      </c>
      <c r="D421" t="s">
        <v>59</v>
      </c>
      <c r="F421" t="s">
        <v>95</v>
      </c>
      <c r="H421" s="2">
        <v>0</v>
      </c>
      <c r="I421" s="1" t="s">
        <v>89</v>
      </c>
      <c r="J421">
        <v>15600</v>
      </c>
    </row>
    <row r="422" spans="1:10">
      <c r="A422">
        <v>421</v>
      </c>
      <c r="B422" s="17">
        <v>46245</v>
      </c>
      <c r="C422" t="s">
        <v>11</v>
      </c>
      <c r="D422" t="s">
        <v>59</v>
      </c>
      <c r="E422" s="1">
        <v>1</v>
      </c>
      <c r="F422" t="s">
        <v>105</v>
      </c>
      <c r="H422" s="2">
        <v>4770</v>
      </c>
      <c r="I422" s="1" t="s">
        <v>24</v>
      </c>
      <c r="J422">
        <v>0</v>
      </c>
    </row>
    <row r="423" spans="1:10">
      <c r="A423">
        <v>422</v>
      </c>
      <c r="B423" s="17">
        <v>46245</v>
      </c>
      <c r="C423" t="s">
        <v>11</v>
      </c>
      <c r="D423" t="s">
        <v>59</v>
      </c>
      <c r="E423" s="1">
        <v>1</v>
      </c>
      <c r="F423" t="s">
        <v>105</v>
      </c>
      <c r="H423" s="2">
        <v>8800</v>
      </c>
      <c r="I423" s="1" t="s">
        <v>26</v>
      </c>
      <c r="J423">
        <v>0</v>
      </c>
    </row>
    <row r="424" spans="1:10">
      <c r="A424">
        <v>423</v>
      </c>
      <c r="B424" s="17">
        <v>46246</v>
      </c>
      <c r="C424" t="s">
        <v>11</v>
      </c>
      <c r="D424" t="s">
        <v>59</v>
      </c>
      <c r="E424" s="1">
        <v>1</v>
      </c>
      <c r="F424" t="s">
        <v>105</v>
      </c>
      <c r="H424" s="2">
        <v>10433.85</v>
      </c>
      <c r="I424" s="1" t="s">
        <v>24</v>
      </c>
      <c r="J424">
        <v>0</v>
      </c>
    </row>
    <row r="425" spans="1:10">
      <c r="A425">
        <v>424</v>
      </c>
      <c r="B425" s="17">
        <v>46246</v>
      </c>
      <c r="C425" t="s">
        <v>11</v>
      </c>
      <c r="D425" t="s">
        <v>59</v>
      </c>
      <c r="E425" s="1">
        <v>1</v>
      </c>
      <c r="F425" t="s">
        <v>105</v>
      </c>
      <c r="H425" s="2">
        <v>3975.15</v>
      </c>
      <c r="I425" s="1" t="s">
        <v>24</v>
      </c>
      <c r="J425">
        <v>0</v>
      </c>
    </row>
    <row r="426" spans="1:10">
      <c r="A426">
        <v>425</v>
      </c>
      <c r="B426" s="17">
        <v>46252</v>
      </c>
      <c r="C426" t="s">
        <v>11</v>
      </c>
      <c r="D426" t="s">
        <v>12</v>
      </c>
      <c r="E426" s="1">
        <v>1</v>
      </c>
      <c r="F426" t="s">
        <v>103</v>
      </c>
      <c r="H426" s="2">
        <v>19200</v>
      </c>
      <c r="I426" s="1" t="s">
        <v>24</v>
      </c>
      <c r="J426">
        <v>0</v>
      </c>
    </row>
    <row r="427" spans="1:10">
      <c r="A427">
        <v>426</v>
      </c>
      <c r="B427" s="17">
        <v>46252</v>
      </c>
      <c r="C427" t="s">
        <v>11</v>
      </c>
      <c r="D427" t="s">
        <v>59</v>
      </c>
      <c r="E427" s="1">
        <v>2</v>
      </c>
      <c r="F427" t="s">
        <v>105</v>
      </c>
      <c r="H427" s="2">
        <v>55067</v>
      </c>
      <c r="I427" s="1" t="s">
        <v>40</v>
      </c>
      <c r="J427">
        <v>0</v>
      </c>
    </row>
    <row r="428" spans="1:10">
      <c r="A428">
        <v>427</v>
      </c>
      <c r="B428" s="17">
        <v>46253</v>
      </c>
      <c r="C428" t="s">
        <v>11</v>
      </c>
      <c r="D428" t="s">
        <v>59</v>
      </c>
      <c r="E428" s="1">
        <v>1</v>
      </c>
      <c r="F428" t="s">
        <v>95</v>
      </c>
      <c r="H428" s="2">
        <v>10360</v>
      </c>
      <c r="I428" s="1" t="s">
        <v>65</v>
      </c>
      <c r="J428">
        <v>0</v>
      </c>
    </row>
    <row r="429" spans="1:10">
      <c r="A429">
        <v>428</v>
      </c>
      <c r="B429" s="17">
        <v>46258</v>
      </c>
      <c r="C429" t="s">
        <v>11</v>
      </c>
      <c r="D429" t="s">
        <v>59</v>
      </c>
      <c r="F429" t="s">
        <v>95</v>
      </c>
      <c r="H429" s="2">
        <v>0</v>
      </c>
      <c r="I429" s="1" t="s">
        <v>89</v>
      </c>
      <c r="J429">
        <v>19005</v>
      </c>
    </row>
    <row r="430" spans="1:10">
      <c r="A430">
        <v>429</v>
      </c>
      <c r="B430" s="17">
        <v>46258</v>
      </c>
      <c r="C430" t="s">
        <v>11</v>
      </c>
      <c r="D430" t="s">
        <v>59</v>
      </c>
      <c r="F430" t="s">
        <v>95</v>
      </c>
      <c r="H430" s="2">
        <v>0</v>
      </c>
      <c r="I430" s="1" t="s">
        <v>89</v>
      </c>
      <c r="J430">
        <v>36670</v>
      </c>
    </row>
    <row r="431" spans="1:10">
      <c r="A431">
        <v>430</v>
      </c>
      <c r="B431" s="17">
        <v>46258</v>
      </c>
      <c r="C431" t="s">
        <v>11</v>
      </c>
      <c r="D431" t="s">
        <v>59</v>
      </c>
      <c r="F431" t="s">
        <v>95</v>
      </c>
      <c r="H431" s="2">
        <v>0</v>
      </c>
      <c r="I431" s="1" t="s">
        <v>89</v>
      </c>
      <c r="J431">
        <v>105990</v>
      </c>
    </row>
    <row r="432" spans="1:10">
      <c r="A432">
        <v>431</v>
      </c>
      <c r="B432" s="17">
        <v>46260</v>
      </c>
      <c r="C432" t="s">
        <v>11</v>
      </c>
      <c r="D432" t="s">
        <v>59</v>
      </c>
      <c r="E432" s="1">
        <v>1</v>
      </c>
      <c r="F432" t="s">
        <v>105</v>
      </c>
      <c r="H432" s="2">
        <v>4683</v>
      </c>
      <c r="I432" s="1" t="s">
        <v>75</v>
      </c>
      <c r="J432">
        <v>0</v>
      </c>
    </row>
    <row r="433" spans="1:10">
      <c r="A433">
        <v>432</v>
      </c>
      <c r="B433" s="17">
        <v>46260</v>
      </c>
      <c r="C433" t="s">
        <v>11</v>
      </c>
      <c r="D433" t="s">
        <v>59</v>
      </c>
      <c r="E433" s="1">
        <v>1</v>
      </c>
      <c r="F433" t="s">
        <v>105</v>
      </c>
      <c r="H433" s="2">
        <v>10525</v>
      </c>
      <c r="I433" s="1" t="s">
        <v>24</v>
      </c>
      <c r="J433">
        <v>0</v>
      </c>
    </row>
    <row r="434" spans="1:10">
      <c r="A434">
        <v>433</v>
      </c>
      <c r="B434" s="17">
        <v>46262</v>
      </c>
      <c r="C434" t="s">
        <v>11</v>
      </c>
      <c r="D434" t="s">
        <v>59</v>
      </c>
      <c r="E434" s="1">
        <v>1</v>
      </c>
      <c r="F434" t="s">
        <v>95</v>
      </c>
      <c r="H434" s="2">
        <v>11140</v>
      </c>
      <c r="I434" s="1" t="s">
        <v>26</v>
      </c>
      <c r="J434">
        <v>0</v>
      </c>
    </row>
    <row r="435" spans="1:10">
      <c r="B435" s="11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OPERACIONES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Office</dc:creator>
  <dc:description/>
  <cp:lastModifiedBy>ANGELA</cp:lastModifiedBy>
  <cp:revision>0</cp:revision>
  <cp:lastPrinted>2026-02-26T13:40:33Z</cp:lastPrinted>
  <dcterms:created xsi:type="dcterms:W3CDTF">2025-06-12T13:47:03Z</dcterms:created>
  <dcterms:modified xsi:type="dcterms:W3CDTF">2026-09-08T14:53:57Z</dcterms:modified>
  <dc:language>en-US</dc:language>
</cp:coreProperties>
</file>